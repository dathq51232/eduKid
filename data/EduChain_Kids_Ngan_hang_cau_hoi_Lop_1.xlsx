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Doc_truoc_khi_dung" sheetId="1" state="visible" r:id="rId1"/>
    <sheet xmlns:r="http://schemas.openxmlformats.org/officeDocument/2006/relationships" name="Khung_cap_do" sheetId="2" state="visible" r:id="rId2"/>
    <sheet xmlns:r="http://schemas.openxmlformats.org/officeDocument/2006/relationships" name="Tong_hop" sheetId="3" state="visible" r:id="rId3"/>
    <sheet xmlns:r="http://schemas.openxmlformats.org/officeDocument/2006/relationships" name="Toan_L1-L5" sheetId="4" state="visible" r:id="rId4"/>
    <sheet xmlns:r="http://schemas.openxmlformats.org/officeDocument/2006/relationships" name="TiengViet_L1-L5" sheetId="5" state="visible" r:id="rId5"/>
    <sheet xmlns:r="http://schemas.openxmlformats.org/officeDocument/2006/relationships" name="TiengAnh_L1-L5" sheetId="6" state="visible" r:id="rId6"/>
    <sheet xmlns:r="http://schemas.openxmlformats.org/officeDocument/2006/relationships" name="Ngan_hang_cau_hoi" sheetId="7" state="visible" r:id="rId7"/>
    <sheet xmlns:r="http://schemas.openxmlformats.org/officeDocument/2006/relationships" name="Bai_tap_theo_sach" sheetId="8" state="visible" r:id="rId8"/>
    <sheet xmlns:r="http://schemas.openxmlformats.org/officeDocument/2006/relationships" name="Checklist_duyet"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b val="1"/>
      <color rgb="00FFFFFF"/>
      <sz val="10"/>
    </font>
    <font>
      <name val="Aptos"/>
      <color rgb="0024364B"/>
      <sz val="10"/>
    </font>
    <font>
      <name val="Aptos"/>
      <b val="1"/>
      <color rgb="0024364B"/>
      <sz val="10"/>
    </font>
    <font>
      <name val="Aptos"/>
      <color rgb="000000FF"/>
      <sz val="10"/>
    </font>
    <font>
      <name val="Aptos"/>
      <i val="1"/>
      <color rgb="005B6B7F"/>
      <sz val="9"/>
    </font>
  </fonts>
  <fills count="10">
    <fill>
      <patternFill/>
    </fill>
    <fill>
      <patternFill patternType="gray125"/>
    </fill>
    <fill>
      <patternFill patternType="solid">
        <fgColor rgb="00193650"/>
      </patternFill>
    </fill>
    <fill>
      <patternFill patternType="solid">
        <fgColor rgb="00F7F9FC"/>
      </patternFill>
    </fill>
    <fill>
      <patternFill patternType="solid">
        <fgColor rgb="00E8F5E9"/>
      </patternFill>
    </fill>
    <fill>
      <patternFill patternType="solid">
        <fgColor rgb="00E3F2FD"/>
      </patternFill>
    </fill>
    <fill>
      <patternFill patternType="solid">
        <fgColor rgb="00FFF8E1"/>
      </patternFill>
    </fill>
    <fill>
      <patternFill patternType="solid">
        <fgColor rgb="00FFE0CC"/>
      </patternFill>
    </fill>
    <fill>
      <patternFill patternType="solid">
        <fgColor rgb="00F3E5F5"/>
      </patternFill>
    </fill>
    <fill>
      <patternFill patternType="solid">
        <fgColor rgb="00DCE3EE"/>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3" fillId="3"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4" fillId="3" borderId="0" applyAlignment="1" pivotButton="0" quotePrefix="0" xfId="0">
      <alignment horizontal="center" vertical="top"/>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3" fillId="0" borderId="0" pivotButton="0" quotePrefix="0" xfId="0"/>
    <xf numFmtId="0" fontId="2" fillId="0" borderId="0" pivotButton="0" quotePrefix="0" xfId="0"/>
    <xf numFmtId="0" fontId="5" fillId="0" borderId="0" applyAlignment="1" pivotButton="0" quotePrefix="0" xfId="0">
      <alignment vertical="top" wrapText="1"/>
    </xf>
    <xf numFmtId="0" fontId="2" fillId="4" borderId="0" applyAlignment="1" pivotButton="0" quotePrefix="0" xfId="0">
      <alignment horizontal="center" vertical="top"/>
    </xf>
    <xf numFmtId="0" fontId="2" fillId="3" borderId="0" applyAlignment="1" pivotButton="0" quotePrefix="0" xfId="0">
      <alignment horizontal="center" vertical="top"/>
    </xf>
    <xf numFmtId="0" fontId="2" fillId="5" borderId="0" applyAlignment="1" pivotButton="0" quotePrefix="0" xfId="0">
      <alignment horizontal="center" vertical="top"/>
    </xf>
    <xf numFmtId="0" fontId="2" fillId="6" borderId="0" applyAlignment="1" pivotButton="0" quotePrefix="0" xfId="0">
      <alignment horizontal="center" vertical="top"/>
    </xf>
    <xf numFmtId="0" fontId="2" fillId="7" borderId="0" applyAlignment="1" pivotButton="0" quotePrefix="0" xfId="0">
      <alignment horizontal="center" vertical="top"/>
    </xf>
    <xf numFmtId="0" fontId="2" fillId="8" borderId="0" applyAlignment="1" pivotButton="0" quotePrefix="0" xfId="0">
      <alignment horizontal="center" vertical="top"/>
    </xf>
    <xf numFmtId="0" fontId="3" fillId="9" borderId="0" applyAlignment="1" pivotButton="0" quotePrefix="0" xfId="0">
      <alignment vertical="top" wrapText="1"/>
    </xf>
    <xf numFmtId="0" fontId="3" fillId="9" borderId="0" applyAlignment="1" pivotButton="0" quotePrefix="0" xfId="0">
      <alignment horizontal="center" vertical="top"/>
    </xf>
    <xf numFmtId="0" fontId="5" fillId="0" borderId="0" pivotButton="0" quotePrefix="0" xfId="0"/>
    <xf numFmtId="0" fontId="2" fillId="3" borderId="0" applyAlignment="1" pivotButton="0" quotePrefix="0" xfId="0">
      <alignment horizontal="center" vertical="top" wrapText="1"/>
    </xf>
    <xf numFmtId="0" fontId="3" fillId="3" borderId="0" applyAlignment="1" pivotButton="0" quotePrefix="0" xfId="0">
      <alignment horizontal="center" vertical="top" wrapText="1"/>
    </xf>
  </cellXfs>
  <cellStyles count="1">
    <cellStyle name="Normal" xfId="0" builtinId="0" hidden="0"/>
  </cellStyles>
  <dxfs count="5">
    <dxf>
      <fill>
        <patternFill patternType="solid">
          <fgColor rgb="00E8F5E9"/>
          <bgColor rgb="00E8F5E9"/>
        </patternFill>
      </fill>
    </dxf>
    <dxf>
      <fill>
        <patternFill patternType="solid">
          <fgColor rgb="00E3F2FD"/>
          <bgColor rgb="00E3F2FD"/>
        </patternFill>
      </fill>
    </dxf>
    <dxf>
      <fill>
        <patternFill patternType="solid">
          <fgColor rgb="00FFF8E1"/>
          <bgColor rgb="00FFF8E1"/>
        </patternFill>
      </fill>
    </dxf>
    <dxf>
      <fill>
        <patternFill patternType="solid">
          <fgColor rgb="00FFE0CC"/>
          <bgColor rgb="00FFE0CC"/>
        </patternFill>
      </fill>
    </dxf>
    <dxf>
      <fill>
        <patternFill patternType="solid">
          <fgColor rgb="00F3E5F5"/>
          <bgColor rgb="00F3E5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Bank_toan" displayName="Bank_toan" ref="A1:AG41" headerRowCount="1">
  <autoFilter ref="A1:AG41"/>
  <tableColumns count="33">
    <tableColumn id="1" name="ID"/>
    <tableColumn id="2" name="Môn học"/>
    <tableColumn id="3" name="Lớp"/>
    <tableColumn id="4" name="Giai đoạn gợi ý"/>
    <tableColumn id="5" name="Chủ đề / kỹ năng"/>
    <tableColumn id="6" name="Cấp độ"/>
    <tableColumn id="7" name="Tên cấp độ"/>
    <tableColumn id="8" name="Cấp độ cũ (bộ mẫu)"/>
    <tableColumn id="9" name="Lý do điều chỉnh cấp độ"/>
    <tableColumn id="10" name="Loại câu hỏi"/>
    <tableColumn id="11" name="Câu hỏi / nhiệm vụ"/>
    <tableColumn id="12" name="Lựa chọn A"/>
    <tableColumn id="13" name="Lựa chọn B"/>
    <tableColumn id="14" name="Lựa chọn C"/>
    <tableColumn id="15" name="Lựa chọn D"/>
    <tableColumn id="16" name="Lựa chọn E"/>
    <tableColumn id="17" name="Đáp án đúng"/>
    <tableColumn id="18" name="Lời giải / phản hồi"/>
    <tableColumn id="19" name="Lời giải chi tiết"/>
    <tableColumn id="20" name="Thời gian (giây)"/>
    <tableColumn id="21" name="Điểm khi đúng"/>
    <tableColumn id="22" name="Đề ôn"/>
    <tableColumn id="23" name="Thứ tự trong đề"/>
    <tableColumn id="24" name="Mã YCCĐ"/>
    <tableColumn id="25" name="Mã dạng bài"/>
    <tableColumn id="26" name="Nguồn câu"/>
    <tableColumn id="27" name="Bản dùng trong app (nếu khác câu gốc)"/>
    <tableColumn id="28" name="Điều kiện tiên quyết"/>
    <tableColumn id="29" name="Căn cứ chương trình / lưu ý đối chiếu"/>
    <tableColumn id="30" name="Nguồn / phạm vi"/>
    <tableColumn id="31" name="Trạng thái nội dung"/>
    <tableColumn id="32" name="Trạng thái giáo viên"/>
    <tableColumn id="33" name="Ghi chú kiểm duyệt"/>
  </tableColumns>
  <tableStyleInfo name="TableStyleMedium2" showRowStripes="1"/>
</table>
</file>

<file path=xl/tables/table2.xml><?xml version="1.0" encoding="utf-8"?>
<table xmlns="http://schemas.openxmlformats.org/spreadsheetml/2006/main" id="2" name="Bank_tieng_viet" displayName="Bank_tieng_viet" ref="A1:AG41" headerRowCount="1">
  <autoFilter ref="A1:AG41"/>
  <tableColumns count="33">
    <tableColumn id="1" name="ID"/>
    <tableColumn id="2" name="Môn học"/>
    <tableColumn id="3" name="Lớp"/>
    <tableColumn id="4" name="Giai đoạn gợi ý"/>
    <tableColumn id="5" name="Chủ đề / kỹ năng"/>
    <tableColumn id="6" name="Cấp độ"/>
    <tableColumn id="7" name="Tên cấp độ"/>
    <tableColumn id="8" name="Cấp độ cũ (bộ mẫu)"/>
    <tableColumn id="9" name="Lý do điều chỉnh cấp độ"/>
    <tableColumn id="10" name="Loại câu hỏi"/>
    <tableColumn id="11" name="Câu hỏi / nhiệm vụ"/>
    <tableColumn id="12" name="Lựa chọn A"/>
    <tableColumn id="13" name="Lựa chọn B"/>
    <tableColumn id="14" name="Lựa chọn C"/>
    <tableColumn id="15" name="Lựa chọn D"/>
    <tableColumn id="16" name="Lựa chọn E"/>
    <tableColumn id="17" name="Đáp án đúng"/>
    <tableColumn id="18" name="Lời giải / phản hồi"/>
    <tableColumn id="19" name="Lời giải chi tiết"/>
    <tableColumn id="20" name="Thời gian (giây)"/>
    <tableColumn id="21" name="Điểm khi đúng"/>
    <tableColumn id="22" name="Đề ôn"/>
    <tableColumn id="23" name="Thứ tự trong đề"/>
    <tableColumn id="24" name="Mã YCCĐ"/>
    <tableColumn id="25" name="Mã dạng bài"/>
    <tableColumn id="26" name="Nguồn câu"/>
    <tableColumn id="27" name="Bản dùng trong app (nếu khác câu gốc)"/>
    <tableColumn id="28" name="Điều kiện tiên quyết"/>
    <tableColumn id="29" name="Căn cứ chương trình / lưu ý đối chiếu"/>
    <tableColumn id="30" name="Nguồn / phạm vi"/>
    <tableColumn id="31" name="Trạng thái nội dung"/>
    <tableColumn id="32" name="Trạng thái giáo viên"/>
    <tableColumn id="33" name="Ghi chú kiểm duyệt"/>
  </tableColumns>
  <tableStyleInfo name="TableStyleMedium2" showRowStripes="1"/>
</table>
</file>

<file path=xl/tables/table3.xml><?xml version="1.0" encoding="utf-8"?>
<table xmlns="http://schemas.openxmlformats.org/spreadsheetml/2006/main" id="3" name="Bank_tieng_anh" displayName="Bank_tieng_anh" ref="A1:AG41" headerRowCount="1">
  <autoFilter ref="A1:AG41"/>
  <tableColumns count="33">
    <tableColumn id="1" name="ID"/>
    <tableColumn id="2" name="Môn học"/>
    <tableColumn id="3" name="Lớp"/>
    <tableColumn id="4" name="Giai đoạn gợi ý"/>
    <tableColumn id="5" name="Chủ đề / kỹ năng"/>
    <tableColumn id="6" name="Cấp độ"/>
    <tableColumn id="7" name="Tên cấp độ"/>
    <tableColumn id="8" name="Cấp độ cũ (bộ mẫu)"/>
    <tableColumn id="9" name="Lý do điều chỉnh cấp độ"/>
    <tableColumn id="10" name="Loại câu hỏi"/>
    <tableColumn id="11" name="Câu hỏi / nhiệm vụ"/>
    <tableColumn id="12" name="Lựa chọn A"/>
    <tableColumn id="13" name="Lựa chọn B"/>
    <tableColumn id="14" name="Lựa chọn C"/>
    <tableColumn id="15" name="Lựa chọn D"/>
    <tableColumn id="16" name="Lựa chọn E"/>
    <tableColumn id="17" name="Đáp án đúng"/>
    <tableColumn id="18" name="Lời giải / phản hồi"/>
    <tableColumn id="19" name="Lời giải chi tiết"/>
    <tableColumn id="20" name="Thời gian (giây)"/>
    <tableColumn id="21" name="Điểm khi đúng"/>
    <tableColumn id="22" name="Đề ôn"/>
    <tableColumn id="23" name="Thứ tự trong đề"/>
    <tableColumn id="24" name="Mã YCCĐ"/>
    <tableColumn id="25" name="Mã dạng bài"/>
    <tableColumn id="26" name="Nguồn câu"/>
    <tableColumn id="27" name="Bản dùng trong app (nếu khác câu gốc)"/>
    <tableColumn id="28" name="Điều kiện tiên quyết"/>
    <tableColumn id="29" name="Căn cứ chương trình / lưu ý đối chiếu"/>
    <tableColumn id="30" name="Nguồn / phạm vi"/>
    <tableColumn id="31" name="Trạng thái nội dung"/>
    <tableColumn id="32" name="Trạng thái giáo viên"/>
    <tableColumn id="33" name="Ghi chú kiểm duyệt"/>
  </tableColumns>
  <tableStyleInfo name="TableStyleMedium2" showRowStripes="1"/>
</table>
</file>

<file path=xl/tables/table4.xml><?xml version="1.0" encoding="utf-8"?>
<table xmlns="http://schemas.openxmlformats.org/spreadsheetml/2006/main" id="4" name="QuestionBank" displayName="QuestionBank" ref="A1:AG121" headerRowCount="1">
  <autoFilter ref="A1:AG121"/>
  <tableColumns count="33">
    <tableColumn id="1" name="ID"/>
    <tableColumn id="2" name="Môn học"/>
    <tableColumn id="3" name="Lớp"/>
    <tableColumn id="4" name="Giai đoạn gợi ý"/>
    <tableColumn id="5" name="Chủ đề / kỹ năng"/>
    <tableColumn id="6" name="Cấp độ"/>
    <tableColumn id="7" name="Tên cấp độ"/>
    <tableColumn id="8" name="Cấp độ cũ (bộ mẫu)"/>
    <tableColumn id="9" name="Lý do điều chỉnh cấp độ"/>
    <tableColumn id="10" name="Loại câu hỏi"/>
    <tableColumn id="11" name="Câu hỏi / nhiệm vụ"/>
    <tableColumn id="12" name="Lựa chọn A"/>
    <tableColumn id="13" name="Lựa chọn B"/>
    <tableColumn id="14" name="Lựa chọn C"/>
    <tableColumn id="15" name="Lựa chọn D"/>
    <tableColumn id="16" name="Lựa chọn E"/>
    <tableColumn id="17" name="Đáp án đúng"/>
    <tableColumn id="18" name="Lời giải / phản hồi"/>
    <tableColumn id="19" name="Lời giải chi tiết"/>
    <tableColumn id="20" name="Thời gian (giây)"/>
    <tableColumn id="21" name="Điểm khi đúng"/>
    <tableColumn id="22" name="Đề ôn"/>
    <tableColumn id="23" name="Thứ tự trong đề"/>
    <tableColumn id="24" name="Mã YCCĐ"/>
    <tableColumn id="25" name="Mã dạng bài"/>
    <tableColumn id="26" name="Nguồn câu"/>
    <tableColumn id="27" name="Bản dùng trong app (nếu khác câu gốc)"/>
    <tableColumn id="28" name="Điều kiện tiên quyết"/>
    <tableColumn id="29" name="Căn cứ chương trình / lưu ý đối chiếu"/>
    <tableColumn id="30" name="Nguồn / phạm vi"/>
    <tableColumn id="31" name="Trạng thái nội dung"/>
    <tableColumn id="32" name="Trạng thái giáo viên"/>
    <tableColumn id="33" name="Ghi chú kiểm duyệt"/>
  </tableColumns>
  <tableStyleInfo name="TableStyleMedium2" showRowStripes="1"/>
</table>
</file>

<file path=xl/tables/table5.xml><?xml version="1.0" encoding="utf-8"?>
<table xmlns="http://schemas.openxmlformats.org/spreadsheetml/2006/main" id="5" name="BookQuestions" displayName="BookQuestions" ref="A1:R714" headerRowCount="1">
  <autoFilter ref="A1:R714"/>
  <tableColumns count="18">
    <tableColumn id="1" name="ID"/>
    <tableColumn id="2" name="Môn học"/>
    <tableColumn id="3" name="Bộ sách"/>
    <tableColumn id="4" name="Vị trí trong sách"/>
    <tableColumn id="5" name="Chủ đề / Unit"/>
    <tableColumn id="6" name="Bài"/>
    <tableColumn id="7" name="Loại câu hỏi"/>
    <tableColumn id="8" name="Cấp độ"/>
    <tableColumn id="9" name="Tên cấp độ"/>
    <tableColumn id="10" name="Câu hỏi"/>
    <tableColumn id="11" name="Lựa chọn"/>
    <tableColumn id="12" name="Đáp án đúng"/>
    <tableColumn id="13" name="Lời giải / phản hồi"/>
    <tableColumn id="14" name="Lời giải chi tiết"/>
    <tableColumn id="15" name="Thời gian (giây)"/>
    <tableColumn id="16" name="Điểm khi đúng"/>
    <tableColumn id="17" name="Mã YCCĐ"/>
    <tableColumn id="18" name="Mã dạng bài"/>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4" customWidth="1" min="1" max="1"/>
    <col width="125" customWidth="1" min="2" max="2"/>
  </cols>
  <sheetData>
    <row r="1" ht="34" customHeight="1">
      <c r="A1" s="1" t="inlineStr">
        <is>
          <t>Mục</t>
        </is>
      </c>
      <c r="B1" s="1" t="inlineStr">
        <is>
          <t>Nội dung</t>
        </is>
      </c>
    </row>
    <row r="2">
      <c r="A2" s="2" t="inlineStr">
        <is>
          <t>Mục đích</t>
        </is>
      </c>
      <c r="B2" s="3" t="inlineStr">
        <is>
          <t>Ngân hàng câu hỏi Lớp 1 gồm 120 câu (40 câu/môn; 8 câu/cấp độ/môn): 45 câu bộ mẫu ban đầu + 75 câu soạn thêm. Kèm 713 câu bài tập theo sách (Học kì 1; riêng Toán có cả Học kì 2, Bài 21–41) ở sheet Bai_tap_theo_sach.</t>
        </is>
      </c>
    </row>
    <row r="3">
      <c r="A3" s="2" t="inlineStr">
        <is>
          <t>Căn cứ chính</t>
        </is>
      </c>
      <c r="B3" s="3" t="inlineStr">
        <is>
          <t>Chương trình GDPT ban hành kèm Thông tư 32/2018/TT-BGDĐT và văn bản sửa đổi còn hiệu lực; cần kiểm tra văn bản chính thức hiện hành trước khi xuất bản.</t>
        </is>
      </c>
    </row>
    <row r="4">
      <c r="A4" s="2" t="inlineStr">
        <is>
          <t>Nguồn chương trình tổng thể</t>
        </is>
      </c>
      <c r="B4" s="3" t="inlineStr">
        <is>
          <t>https://moet.gov.vn/content/tintuc/Lists/News/Attachments/8421/chuong-trinh-tong-the-ctgdpt-2018.pdf</t>
        </is>
      </c>
    </row>
    <row r="5">
      <c r="A5" s="2" t="inlineStr">
        <is>
          <t>Nguồn thông tin sửa đổi</t>
        </is>
      </c>
      <c r="B5" s="3" t="inlineStr">
        <is>
          <t>https://www.moet.gov.vn/tintuc/Pages/CT-GDPT-Tong-The.aspx/casino%20Matchbook%20Custom?ItemID=8013</t>
        </is>
      </c>
    </row>
    <row r="6">
      <c r="A6" s="2" t="inlineStr">
        <is>
          <t>Phân biệt chính thức và đề xuất</t>
        </is>
      </c>
      <c r="B6" s="3" t="inlineStr">
        <is>
          <t>Chương trình chính thức quy định yêu cầu cần đạt; L1–L5 là thang phân tầng nội bộ EduChain Kids, không phải cấp độ chính thức của Bộ.</t>
        </is>
      </c>
    </row>
    <row r="7">
      <c r="A7" s="2" t="inlineStr">
        <is>
          <t>L1</t>
        </is>
      </c>
      <c r="B7" s="3" t="inlineStr">
        <is>
          <t>Nhận biết trực tiếp, thao tác đơn giản.</t>
        </is>
      </c>
    </row>
    <row r="8">
      <c r="A8" s="2" t="inlineStr">
        <is>
          <t>L2</t>
        </is>
      </c>
      <c r="B8" s="3" t="inlineStr">
        <is>
          <t>Hiểu và thực hiện dạng quen thuộc đã học.</t>
        </is>
      </c>
    </row>
    <row r="9">
      <c r="A9" s="2" t="inlineStr">
        <is>
          <t>L3</t>
        </is>
      </c>
      <c r="B9" s="3" t="inlineStr">
        <is>
          <t>Vận dụng kiến thức đã học vào tình huống quen thuộc.</t>
        </is>
      </c>
    </row>
    <row r="10">
      <c r="A10" s="2" t="inlineStr">
        <is>
          <t>L4</t>
        </is>
      </c>
      <c r="B10" s="3" t="inlineStr">
        <is>
          <t>Kết hợp vài kỹ năng đã học; không vượt chuẩn.</t>
        </is>
      </c>
    </row>
    <row r="11">
      <c r="A11" s="2" t="inlineStr">
        <is>
          <t>L5</t>
        </is>
      </c>
      <c r="B11" s="3" t="inlineStr">
        <is>
          <t>Mở rộng tư duy trên kiến thức đã học; không dạy trước kiến thức lớp trên.</t>
        </is>
      </c>
    </row>
    <row r="12">
      <c r="A12" s="2" t="inlineStr">
        <is>
          <t>Tiến trình</t>
        </is>
      </c>
      <c r="B12" s="3" t="inlineStr">
        <is>
          <t>Không gán tuần/tháng cứng vì tiến độ tùy kế hoạch giáo dục, SGK và học sinh. Giáo viên chọn giai đoạn thực tế.</t>
        </is>
      </c>
    </row>
    <row r="13">
      <c r="A13" s="2" t="inlineStr">
        <is>
          <t>Tiếng Việt</t>
        </is>
      </c>
      <c r="B13" s="3" t="inlineStr">
        <is>
          <t>Kiểm tra âm/chữ/vần/thanh điệu đã học trước khi giao bài; ví dụ cần đối chiếu trình tự SGK trường.</t>
        </is>
      </c>
    </row>
    <row r="14">
      <c r="A14" s="2" t="inlineStr">
        <is>
          <t>Tiếng Anh</t>
        </is>
      </c>
      <c r="B14" s="3" t="inlineStr">
        <is>
          <t>Nội dung tiếng Anh lớp 1 phụ thuộc kế hoạch/giáo trình trường lựa chọn; đây là ví dụ mẫu, không khẳng định mọi trường dạy cùng nội dung.</t>
        </is>
      </c>
    </row>
    <row r="15">
      <c r="A15" s="2" t="inlineStr">
        <is>
          <t>Cách dùng</t>
        </is>
      </c>
      <c r="B15" s="3" t="inlineStr">
        <is>
          <t>Lọc theo môn, cấp độ, giai đoạn và trạng thái; chỉ xuất bản khi nội dung và giáo viên đều duyệt.</t>
        </is>
      </c>
    </row>
    <row r="16">
      <c r="A16" s="2" t="inlineStr">
        <is>
          <t>Bảo mật</t>
        </is>
      </c>
      <c r="B16" s="3" t="inlineStr">
        <is>
          <t>Không gửi answer key về trình duyệt học sinh; tách đáp án riêng và chấm điểm phía máy chủ.</t>
        </is>
      </c>
    </row>
    <row r="17">
      <c r="A17" s="2" t="inlineStr">
        <is>
          <t>AI</t>
        </is>
      </c>
      <c r="B17" s="3" t="inlineStr">
        <is>
          <t>AI chỉ tạo bản nháp. Giáo viên kiểm tra yêu cầu cần đạt, đáp án, lời giải, từ vựng, hình ảnh và độ phù hợp lứa tuổi.</t>
        </is>
      </c>
    </row>
    <row r="18">
      <c r="A18" s="2" t="inlineStr">
        <is>
          <t>Câu trả lời mở</t>
        </is>
      </c>
      <c r="B18" s="3" t="inlineStr">
        <is>
          <t>Cần rubric; không chấm chỉ bằng so khớp chuỗi. Ghi âm trẻ em cần được xử lý thận trọng và có cơ sở đồng ý phù hợp.</t>
        </is>
      </c>
    </row>
    <row r="19">
      <c r="A19" s="2" t="inlineStr">
        <is>
          <t>Trạng thái mặc định</t>
        </is>
      </c>
      <c r="B19" s="3" t="inlineStr">
        <is>
          <t>Tất cả câu hỏi đều là bản mẫu chờ rà soát và chờ giáo viên duyệt.</t>
        </is>
      </c>
    </row>
    <row r="20">
      <c r="A20" s="2" t="inlineStr">
        <is>
          <t>Cập nhật pháp lý</t>
        </is>
      </c>
      <c r="B20" s="3" t="inlineStr">
        <is>
          <t>Trước khi dùng tại trường hoặc phát hành thương mại, rà soát văn bản chính thức đang có hiệu lực; không dùng dự thảo như quy định đã ban hành.</t>
        </is>
      </c>
    </row>
    <row r="21">
      <c r="A21" s="2" t="inlineStr">
        <is>
          <t>Cập nhật</t>
        </is>
      </c>
      <c r="B21" s="3" t="inlineStr">
        <is>
          <t>14/10/2026: phân cấp độ L1–L5 cho từng môn (mỗi môn một sheet), thêm thời gian làm từng câu, điểm khi đúng, đề ôn, mã YCCĐ, lời giải chi tiết; soạn thêm 75 câu; điều chỉnh cấp độ 6 câu mẫu (xem cột Cấp độ cũ).</t>
        </is>
      </c>
    </row>
    <row r="22">
      <c r="A22" s="2" t="inlineStr">
        <is>
          <t>Thời gian mỗi câu</t>
        </is>
      </c>
      <c r="B22" s="3" t="inlineStr">
        <is>
          <t>Thời gian gốc theo cấp độ (sheet Khung_cap_do) + thêm theo dạng câu (điền, chọn nhiều +10 giây; sắp xếp, ghép cặp +15 giây) + 10 giây nếu đề dài hơn 60 ký tự; làm tròn 5 giây, trong khoảng 30–120 giây. Giáo viên có thể sửa thời gian từng câu trong trang quản trị.</t>
        </is>
      </c>
    </row>
    <row r="23">
      <c r="A23" s="2" t="inlineStr">
        <is>
          <t>Điểm</t>
        </is>
      </c>
      <c r="B23" s="3" t="inlineStr">
        <is>
          <t>Câu đúng được điểm theo cấp độ (10/15/20/25/30). Đúng và dùng không quá nửa thời gian: +5. Đúng hết bài: +20; đúng từ 80%: +10. Điểm tích luỹ = cộng điểm cao nhất của từng bài (làm lại chỉ cộng phần vượt kỷ lục).</t>
        </is>
      </c>
    </row>
    <row r="24">
      <c r="A24" s="2" t="inlineStr">
        <is>
          <t>Đề ôn theo cấp độ</t>
        </is>
      </c>
      <c r="B24" s="3" t="inlineStr">
        <is>
          <t>Mỗi môn 4 đề × 10 câu; mỗi đề 2 câu mỗi cấp độ, sắp từ L1 đến L5 (cột Đề ôn, Thứ tự trong đề).</t>
        </is>
      </c>
    </row>
    <row r="25">
      <c r="A25" s="2" t="inlineStr">
        <is>
          <t>Câu trả lời mở</t>
        </is>
      </c>
      <c r="B25" s="3" t="inlineStr">
        <is>
          <t>Câu mẫu dạng Trả lời ngắn / Nói được giữ nguyên ở đây để chấm theo rubric; trong app dùng bản chấm tự động (cột Bản dùng trong app).</t>
        </is>
      </c>
    </row>
    <row r="26">
      <c r="A26" s="2" t="inlineStr">
        <is>
          <t>Sửa nội dung</t>
        </is>
      </c>
      <c r="B26" s="3" t="inlineStr">
        <is>
          <t>Nguồn chính là file src/lib/content/ngan-hang-lop1.ts trong dự án. Sửa ở đó rồi chạy npm run check:content, npm run gen:sql và npm run export:bank để tạo lại file này.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48" customWidth="1" min="3" max="3"/>
    <col width="46" customWidth="1" min="4" max="4"/>
    <col width="48" customWidth="1" min="5" max="5"/>
    <col width="14" customWidth="1" min="6" max="6"/>
    <col width="14" customWidth="1" min="7" max="7"/>
    <col width="12" customWidth="1" min="8" max="8"/>
  </cols>
  <sheetData>
    <row r="1" ht="34" customHeight="1">
      <c r="A1" s="1" t="inlineStr">
        <is>
          <t>Cấp độ nội bộ</t>
        </is>
      </c>
      <c r="B1" s="1" t="inlineStr">
        <is>
          <t>Mô tả</t>
        </is>
      </c>
      <c r="C1" s="1" t="inlineStr">
        <is>
          <t>Dấu hiệu</t>
        </is>
      </c>
      <c r="D1" s="1" t="inlineStr">
        <is>
          <t>Điều kiện bắt buộc</t>
        </is>
      </c>
      <c r="E1" s="1" t="inlineStr">
        <is>
          <t>Không được làm</t>
        </is>
      </c>
      <c r="F1" s="1" t="inlineStr">
        <is>
          <t>Mức quen thuộc</t>
        </is>
      </c>
      <c r="G1" s="1" t="inlineStr">
        <is>
          <t>Thời gian gốc (giây)</t>
        </is>
      </c>
      <c r="H1" s="1" t="inlineStr">
        <is>
          <t>Điểm khi đúng</t>
        </is>
      </c>
    </row>
    <row r="2">
      <c r="A2" s="4" t="inlineStr">
        <is>
          <t>L1 — Làm quen</t>
        </is>
      </c>
      <c r="B2" s="3" t="inlineStr">
        <is>
          <t>Nhận biết, chỉ ra, ghép trực tiếp</t>
        </is>
      </c>
      <c r="C2" s="3" t="inlineStr">
        <is>
          <t>Chọn số/chữ/từ đã học</t>
        </is>
      </c>
      <c r="D2" s="3" t="inlineStr">
        <is>
          <t>Kiến thức đã dạy; hình rõ</t>
        </is>
      </c>
      <c r="E2" s="3" t="inlineStr">
        <is>
          <t>Không hỏi nội dung chưa học</t>
        </is>
      </c>
      <c r="F2" s="3" t="inlineStr">
        <is>
          <t>Nhận biết</t>
        </is>
      </c>
      <c r="G2" s="5" t="n">
        <v>30</v>
      </c>
      <c r="H2" s="5" t="n">
        <v>10</v>
      </c>
    </row>
    <row r="3">
      <c r="A3" s="6" t="inlineStr">
        <is>
          <t>L2 — Cơ bản</t>
        </is>
      </c>
      <c r="B3" s="3" t="inlineStr">
        <is>
          <t>Thực hiện dạng quen thuộc</t>
        </is>
      </c>
      <c r="C3" s="3" t="inlineStr">
        <is>
          <t>Tính toán/hiểu nghĩa trực tiếp</t>
        </is>
      </c>
      <c r="D3" s="3" t="inlineStr">
        <is>
          <t>Không cần chiến lược mới</t>
        </is>
      </c>
      <c r="E3" s="3" t="inlineStr">
        <is>
          <t>Không làm khó bằng câu chữ rối</t>
        </is>
      </c>
      <c r="F3" s="3" t="inlineStr">
        <is>
          <t>Thông hiểu</t>
        </is>
      </c>
      <c r="G3" s="5" t="n">
        <v>40</v>
      </c>
      <c r="H3" s="5" t="n">
        <v>15</v>
      </c>
    </row>
    <row r="4">
      <c r="A4" s="7" t="inlineStr">
        <is>
          <t>L3 — Vận dụng</t>
        </is>
      </c>
      <c r="B4" s="3" t="inlineStr">
        <is>
          <t>Áp dụng trong ngữ cảnh quen thuộc</t>
        </is>
      </c>
      <c r="C4" s="3" t="inlineStr">
        <is>
          <t>Bài toán thêm/bớt; hiểu câu ngắn</t>
        </is>
      </c>
      <c r="D4" s="3" t="inlineStr">
        <is>
          <t>Đủ kiến thức nền</t>
        </is>
      </c>
      <c r="E4" s="3" t="inlineStr">
        <is>
          <t>Không dùng từ ngoài vốn từ</t>
        </is>
      </c>
      <c r="F4" s="3" t="inlineStr">
        <is>
          <t>Vận dụng</t>
        </is>
      </c>
      <c r="G4" s="5" t="n">
        <v>50</v>
      </c>
      <c r="H4" s="5" t="n">
        <v>20</v>
      </c>
    </row>
    <row r="5">
      <c r="A5" s="8" t="inlineStr">
        <is>
          <t>L4 — Thử thách</t>
        </is>
      </c>
      <c r="B5" s="3" t="inlineStr">
        <is>
          <t>Kết hợp vài kỹ năng đã học</t>
        </is>
      </c>
      <c r="C5" s="3" t="inlineStr">
        <is>
          <t>Chọn phép tính; đọc câu liên kết</t>
        </is>
      </c>
      <c r="D5" s="3" t="inlineStr">
        <is>
          <t>Giáo viên xác nhận phạm vi</t>
        </is>
      </c>
      <c r="E5" s="3" t="inlineStr">
        <is>
          <t>Không đồng nghĩa kiến thức lớp trên</t>
        </is>
      </c>
      <c r="F5" s="3" t="inlineStr">
        <is>
          <t>—</t>
        </is>
      </c>
      <c r="G5" s="5" t="n">
        <v>60</v>
      </c>
      <c r="H5" s="5" t="n">
        <v>25</v>
      </c>
    </row>
    <row r="6">
      <c r="A6" s="9" t="inlineStr">
        <is>
          <t>L5 — Mở rộng</t>
        </is>
      </c>
      <c r="B6" s="3" t="inlineStr">
        <is>
          <t>Tình huống mới, giải thích hoặc nhiều đáp án</t>
        </is>
      </c>
      <c r="C6" s="3" t="inlineStr">
        <is>
          <t>Tách số; câu trả lời mở</t>
        </is>
      </c>
      <c r="D6" s="3" t="inlineStr">
        <is>
          <t>Có rubric và dùng kiến thức đã học</t>
        </is>
      </c>
      <c r="E6" s="3" t="inlineStr">
        <is>
          <t>Không gắn nhãn chuẩn Bộ</t>
        </is>
      </c>
      <c r="F6" s="3" t="inlineStr">
        <is>
          <t>—</t>
        </is>
      </c>
      <c r="G6" s="5" t="n">
        <v>75</v>
      </c>
      <c r="H6" s="5" t="n">
        <v>30</v>
      </c>
    </row>
    <row r="8">
      <c r="A8" s="10" t="inlineStr">
        <is>
          <t>Thời gian cộng thêm theo dạng câu</t>
        </is>
      </c>
    </row>
    <row r="9">
      <c r="A9" s="11" t="inlineStr">
        <is>
          <t>Chọn đáp án, Đúng/Sai</t>
        </is>
      </c>
      <c r="B9" s="11" t="n">
        <v>0</v>
      </c>
    </row>
    <row r="10">
      <c r="A10" s="11" t="inlineStr">
        <is>
          <t>Điền đáp án, Chọn nhiều</t>
        </is>
      </c>
      <c r="B10" s="11" t="n">
        <v>10</v>
      </c>
    </row>
    <row r="11">
      <c r="A11" s="11" t="inlineStr">
        <is>
          <t>Sắp xếp, Ghép cặp</t>
        </is>
      </c>
      <c r="B11" s="11" t="n">
        <v>15</v>
      </c>
    </row>
    <row r="12">
      <c r="A12" s="11" t="inlineStr">
        <is>
          <t>Đề dài hơn 60 ký tự</t>
        </is>
      </c>
      <c r="B12" s="11" t="n">
        <v>10</v>
      </c>
    </row>
    <row r="13">
      <c r="A13" s="11" t="inlineStr">
        <is>
          <t>Giới hạn</t>
        </is>
      </c>
      <c r="B13" s="11" t="inlineStr">
        <is>
          <t>30–120 giây</t>
        </is>
      </c>
    </row>
    <row r="15" ht="30" customHeight="1">
      <c r="A15" s="12" t="inlineStr">
        <is>
          <t>Chữ xanh: số có thể chỉnh. Cột Điểm khi đúng ở các sheet câu hỏi lấy từ cột H ở đây. Thời gian từng câu trong các sheet câu hỏi là giá trị đã tính (giáo viên sửa được từng câu); đổi quy tắc thời gian thì sửa src/lib/levels.ts và migration 0006 rồi xuất lại file.</t>
        </is>
      </c>
    </row>
  </sheetData>
  <mergeCells count="1">
    <mergeCell ref="A15:H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2" customWidth="1" min="3" max="3"/>
    <col width="14" customWidth="1" min="4" max="4"/>
    <col width="12" customWidth="1" min="5" max="5"/>
    <col width="13" customWidth="1" min="6" max="6"/>
    <col width="14" customWidth="1" min="7" max="7"/>
    <col width="14" customWidth="1" min="8" max="8"/>
    <col width="12" customWidth="1" min="9" max="9"/>
    <col width="16" customWidth="1" min="10" max="10"/>
  </cols>
  <sheetData>
    <row r="1" ht="34" customHeight="1">
      <c r="A1" s="1" t="inlineStr">
        <is>
          <t>Môn học</t>
        </is>
      </c>
      <c r="B1" s="1" t="inlineStr">
        <is>
          <t>Cấp độ</t>
        </is>
      </c>
      <c r="C1" s="1" t="inlineStr">
        <is>
          <t>Tên cấp độ</t>
        </is>
      </c>
      <c r="D1" s="1" t="inlineStr">
        <is>
          <t>Số câu ngân hàng</t>
        </is>
      </c>
      <c r="E1" s="1" t="inlineStr">
        <is>
          <t>Câu bộ mẫu</t>
        </is>
      </c>
      <c r="F1" s="1" t="inlineStr">
        <is>
          <t>Câu soạn thêm</t>
        </is>
      </c>
      <c r="G1" s="1" t="inlineStr">
        <is>
          <t>Có lời giải chi tiết</t>
        </is>
      </c>
      <c r="H1" s="1" t="inlineStr">
        <is>
          <t>Thời gian TB (giây)</t>
        </is>
      </c>
      <c r="I1" s="1" t="inlineStr">
        <is>
          <t>Điểm khi đúng</t>
        </is>
      </c>
      <c r="J1" s="1" t="inlineStr">
        <is>
          <t>Câu bài tập theo sách</t>
        </is>
      </c>
    </row>
    <row r="2">
      <c r="A2" s="3" t="inlineStr">
        <is>
          <t>Toán</t>
        </is>
      </c>
      <c r="B2" s="13" t="n">
        <v>1</v>
      </c>
      <c r="C2" s="14" t="inlineStr">
        <is>
          <t>Làm quen</t>
        </is>
      </c>
      <c r="D2" s="14">
        <f>COUNTIFS(Ngan_hang_cau_hoi!$B:$B,$A2,Ngan_hang_cau_hoi!$F:$F,$B2)</f>
        <v/>
      </c>
      <c r="E2" s="14">
        <f>COUNTIFS(Ngan_hang_cau_hoi!$B:$B,$A2,Ngan_hang_cau_hoi!$F:$F,$B2,Ngan_hang_cau_hoi!$Z:$Z,"Bộ mẫu")</f>
        <v/>
      </c>
      <c r="F2" s="14">
        <f>COUNTIFS(Ngan_hang_cau_hoi!$B:$B,$A2,Ngan_hang_cau_hoi!$F:$F,$B2,Ngan_hang_cau_hoi!$Z:$Z,"Soạn thêm")</f>
        <v/>
      </c>
      <c r="G2" s="14">
        <f>COUNTIFS(Ngan_hang_cau_hoi!$B:$B,$A2,Ngan_hang_cau_hoi!$F:$F,$B2,Ngan_hang_cau_hoi!$S:$S,"&lt;&gt;")</f>
        <v/>
      </c>
      <c r="H2" s="14">
        <f>IFERROR(ROUND(AVERAGEIFS(Ngan_hang_cau_hoi!$T:$T,Ngan_hang_cau_hoi!$B:$B,$A2,Ngan_hang_cau_hoi!$F:$F,$B2),0),0)</f>
        <v/>
      </c>
      <c r="I2" s="14">
        <f>INDEX(Khung_cap_do!$H$2:$H$6,$B2)</f>
        <v/>
      </c>
      <c r="J2" s="14">
        <f>COUNTIFS(Bai_tap_theo_sach!$B:$B,$A2,Bai_tap_theo_sach!$H:$H,$B2)</f>
        <v/>
      </c>
    </row>
    <row r="3">
      <c r="A3" s="3" t="inlineStr">
        <is>
          <t>Toán</t>
        </is>
      </c>
      <c r="B3" s="15" t="n">
        <v>2</v>
      </c>
      <c r="C3" s="14" t="inlineStr">
        <is>
          <t>Cơ bản</t>
        </is>
      </c>
      <c r="D3" s="14">
        <f>COUNTIFS(Ngan_hang_cau_hoi!$B:$B,$A3,Ngan_hang_cau_hoi!$F:$F,$B3)</f>
        <v/>
      </c>
      <c r="E3" s="14">
        <f>COUNTIFS(Ngan_hang_cau_hoi!$B:$B,$A3,Ngan_hang_cau_hoi!$F:$F,$B3,Ngan_hang_cau_hoi!$Z:$Z,"Bộ mẫu")</f>
        <v/>
      </c>
      <c r="F3" s="14">
        <f>COUNTIFS(Ngan_hang_cau_hoi!$B:$B,$A3,Ngan_hang_cau_hoi!$F:$F,$B3,Ngan_hang_cau_hoi!$Z:$Z,"Soạn thêm")</f>
        <v/>
      </c>
      <c r="G3" s="14">
        <f>COUNTIFS(Ngan_hang_cau_hoi!$B:$B,$A3,Ngan_hang_cau_hoi!$F:$F,$B3,Ngan_hang_cau_hoi!$S:$S,"&lt;&gt;")</f>
        <v/>
      </c>
      <c r="H3" s="14">
        <f>IFERROR(ROUND(AVERAGEIFS(Ngan_hang_cau_hoi!$T:$T,Ngan_hang_cau_hoi!$B:$B,$A3,Ngan_hang_cau_hoi!$F:$F,$B3),0),0)</f>
        <v/>
      </c>
      <c r="I3" s="14">
        <f>INDEX(Khung_cap_do!$H$2:$H$6,$B3)</f>
        <v/>
      </c>
      <c r="J3" s="14">
        <f>COUNTIFS(Bai_tap_theo_sach!$B:$B,$A3,Bai_tap_theo_sach!$H:$H,$B3)</f>
        <v/>
      </c>
    </row>
    <row r="4">
      <c r="A4" s="3" t="inlineStr">
        <is>
          <t>Toán</t>
        </is>
      </c>
      <c r="B4" s="16" t="n">
        <v>3</v>
      </c>
      <c r="C4" s="14" t="inlineStr">
        <is>
          <t>Vận dụng</t>
        </is>
      </c>
      <c r="D4" s="14">
        <f>COUNTIFS(Ngan_hang_cau_hoi!$B:$B,$A4,Ngan_hang_cau_hoi!$F:$F,$B4)</f>
        <v/>
      </c>
      <c r="E4" s="14">
        <f>COUNTIFS(Ngan_hang_cau_hoi!$B:$B,$A4,Ngan_hang_cau_hoi!$F:$F,$B4,Ngan_hang_cau_hoi!$Z:$Z,"Bộ mẫu")</f>
        <v/>
      </c>
      <c r="F4" s="14">
        <f>COUNTIFS(Ngan_hang_cau_hoi!$B:$B,$A4,Ngan_hang_cau_hoi!$F:$F,$B4,Ngan_hang_cau_hoi!$Z:$Z,"Soạn thêm")</f>
        <v/>
      </c>
      <c r="G4" s="14">
        <f>COUNTIFS(Ngan_hang_cau_hoi!$B:$B,$A4,Ngan_hang_cau_hoi!$F:$F,$B4,Ngan_hang_cau_hoi!$S:$S,"&lt;&gt;")</f>
        <v/>
      </c>
      <c r="H4" s="14">
        <f>IFERROR(ROUND(AVERAGEIFS(Ngan_hang_cau_hoi!$T:$T,Ngan_hang_cau_hoi!$B:$B,$A4,Ngan_hang_cau_hoi!$F:$F,$B4),0),0)</f>
        <v/>
      </c>
      <c r="I4" s="14">
        <f>INDEX(Khung_cap_do!$H$2:$H$6,$B4)</f>
        <v/>
      </c>
      <c r="J4" s="14">
        <f>COUNTIFS(Bai_tap_theo_sach!$B:$B,$A4,Bai_tap_theo_sach!$H:$H,$B4)</f>
        <v/>
      </c>
    </row>
    <row r="5">
      <c r="A5" s="3" t="inlineStr">
        <is>
          <t>Toán</t>
        </is>
      </c>
      <c r="B5" s="17" t="n">
        <v>4</v>
      </c>
      <c r="C5" s="14" t="inlineStr">
        <is>
          <t>Thử thách</t>
        </is>
      </c>
      <c r="D5" s="14">
        <f>COUNTIFS(Ngan_hang_cau_hoi!$B:$B,$A5,Ngan_hang_cau_hoi!$F:$F,$B5)</f>
        <v/>
      </c>
      <c r="E5" s="14">
        <f>COUNTIFS(Ngan_hang_cau_hoi!$B:$B,$A5,Ngan_hang_cau_hoi!$F:$F,$B5,Ngan_hang_cau_hoi!$Z:$Z,"Bộ mẫu")</f>
        <v/>
      </c>
      <c r="F5" s="14">
        <f>COUNTIFS(Ngan_hang_cau_hoi!$B:$B,$A5,Ngan_hang_cau_hoi!$F:$F,$B5,Ngan_hang_cau_hoi!$Z:$Z,"Soạn thêm")</f>
        <v/>
      </c>
      <c r="G5" s="14">
        <f>COUNTIFS(Ngan_hang_cau_hoi!$B:$B,$A5,Ngan_hang_cau_hoi!$F:$F,$B5,Ngan_hang_cau_hoi!$S:$S,"&lt;&gt;")</f>
        <v/>
      </c>
      <c r="H5" s="14">
        <f>IFERROR(ROUND(AVERAGEIFS(Ngan_hang_cau_hoi!$T:$T,Ngan_hang_cau_hoi!$B:$B,$A5,Ngan_hang_cau_hoi!$F:$F,$B5),0),0)</f>
        <v/>
      </c>
      <c r="I5" s="14">
        <f>INDEX(Khung_cap_do!$H$2:$H$6,$B5)</f>
        <v/>
      </c>
      <c r="J5" s="14">
        <f>COUNTIFS(Bai_tap_theo_sach!$B:$B,$A5,Bai_tap_theo_sach!$H:$H,$B5)</f>
        <v/>
      </c>
    </row>
    <row r="6">
      <c r="A6" s="3" t="inlineStr">
        <is>
          <t>Toán</t>
        </is>
      </c>
      <c r="B6" s="18" t="n">
        <v>5</v>
      </c>
      <c r="C6" s="14" t="inlineStr">
        <is>
          <t>Mở rộng</t>
        </is>
      </c>
      <c r="D6" s="14">
        <f>COUNTIFS(Ngan_hang_cau_hoi!$B:$B,$A6,Ngan_hang_cau_hoi!$F:$F,$B6)</f>
        <v/>
      </c>
      <c r="E6" s="14">
        <f>COUNTIFS(Ngan_hang_cau_hoi!$B:$B,$A6,Ngan_hang_cau_hoi!$F:$F,$B6,Ngan_hang_cau_hoi!$Z:$Z,"Bộ mẫu")</f>
        <v/>
      </c>
      <c r="F6" s="14">
        <f>COUNTIFS(Ngan_hang_cau_hoi!$B:$B,$A6,Ngan_hang_cau_hoi!$F:$F,$B6,Ngan_hang_cau_hoi!$Z:$Z,"Soạn thêm")</f>
        <v/>
      </c>
      <c r="G6" s="14">
        <f>COUNTIFS(Ngan_hang_cau_hoi!$B:$B,$A6,Ngan_hang_cau_hoi!$F:$F,$B6,Ngan_hang_cau_hoi!$S:$S,"&lt;&gt;")</f>
        <v/>
      </c>
      <c r="H6" s="14">
        <f>IFERROR(ROUND(AVERAGEIFS(Ngan_hang_cau_hoi!$T:$T,Ngan_hang_cau_hoi!$B:$B,$A6,Ngan_hang_cau_hoi!$F:$F,$B6),0),0)</f>
        <v/>
      </c>
      <c r="I6" s="14">
        <f>INDEX(Khung_cap_do!$H$2:$H$6,$B6)</f>
        <v/>
      </c>
      <c r="J6" s="14">
        <f>COUNTIFS(Bai_tap_theo_sach!$B:$B,$A6,Bai_tap_theo_sach!$H:$H,$B6)</f>
        <v/>
      </c>
    </row>
    <row r="7">
      <c r="A7" s="19" t="inlineStr">
        <is>
          <t>Cộng Toán</t>
        </is>
      </c>
      <c r="B7" s="20" t="n"/>
      <c r="C7" s="20" t="n"/>
      <c r="D7" s="20">
        <f>SUM(D2:D6)</f>
        <v/>
      </c>
      <c r="E7" s="20">
        <f>SUM(E2:E6)</f>
        <v/>
      </c>
      <c r="F7" s="20">
        <f>SUM(F2:F6)</f>
        <v/>
      </c>
      <c r="G7" s="20">
        <f>SUM(G2:G6)</f>
        <v/>
      </c>
      <c r="H7" s="20">
        <f>IFERROR(ROUND(AVERAGEIFS(Ngan_hang_cau_hoi!$T:$T,Ngan_hang_cau_hoi!$B:$B,"Toán"),0),0)</f>
        <v/>
      </c>
      <c r="I7" s="20" t="n"/>
      <c r="J7" s="20">
        <f>SUM(J2:J6)</f>
        <v/>
      </c>
    </row>
    <row r="8">
      <c r="A8" s="3" t="inlineStr">
        <is>
          <t>Tiếng Việt</t>
        </is>
      </c>
      <c r="B8" s="13" t="n">
        <v>1</v>
      </c>
      <c r="C8" s="14" t="inlineStr">
        <is>
          <t>Làm quen</t>
        </is>
      </c>
      <c r="D8" s="14">
        <f>COUNTIFS(Ngan_hang_cau_hoi!$B:$B,$A8,Ngan_hang_cau_hoi!$F:$F,$B8)</f>
        <v/>
      </c>
      <c r="E8" s="14">
        <f>COUNTIFS(Ngan_hang_cau_hoi!$B:$B,$A8,Ngan_hang_cau_hoi!$F:$F,$B8,Ngan_hang_cau_hoi!$Z:$Z,"Bộ mẫu")</f>
        <v/>
      </c>
      <c r="F8" s="14">
        <f>COUNTIFS(Ngan_hang_cau_hoi!$B:$B,$A8,Ngan_hang_cau_hoi!$F:$F,$B8,Ngan_hang_cau_hoi!$Z:$Z,"Soạn thêm")</f>
        <v/>
      </c>
      <c r="G8" s="14">
        <f>COUNTIFS(Ngan_hang_cau_hoi!$B:$B,$A8,Ngan_hang_cau_hoi!$F:$F,$B8,Ngan_hang_cau_hoi!$S:$S,"&lt;&gt;")</f>
        <v/>
      </c>
      <c r="H8" s="14">
        <f>IFERROR(ROUND(AVERAGEIFS(Ngan_hang_cau_hoi!$T:$T,Ngan_hang_cau_hoi!$B:$B,$A8,Ngan_hang_cau_hoi!$F:$F,$B8),0),0)</f>
        <v/>
      </c>
      <c r="I8" s="14">
        <f>INDEX(Khung_cap_do!$H$2:$H$6,$B8)</f>
        <v/>
      </c>
      <c r="J8" s="14">
        <f>COUNTIFS(Bai_tap_theo_sach!$B:$B,$A8,Bai_tap_theo_sach!$H:$H,$B8)</f>
        <v/>
      </c>
    </row>
    <row r="9">
      <c r="A9" s="3" t="inlineStr">
        <is>
          <t>Tiếng Việt</t>
        </is>
      </c>
      <c r="B9" s="15" t="n">
        <v>2</v>
      </c>
      <c r="C9" s="14" t="inlineStr">
        <is>
          <t>Cơ bản</t>
        </is>
      </c>
      <c r="D9" s="14">
        <f>COUNTIFS(Ngan_hang_cau_hoi!$B:$B,$A9,Ngan_hang_cau_hoi!$F:$F,$B9)</f>
        <v/>
      </c>
      <c r="E9" s="14">
        <f>COUNTIFS(Ngan_hang_cau_hoi!$B:$B,$A9,Ngan_hang_cau_hoi!$F:$F,$B9,Ngan_hang_cau_hoi!$Z:$Z,"Bộ mẫu")</f>
        <v/>
      </c>
      <c r="F9" s="14">
        <f>COUNTIFS(Ngan_hang_cau_hoi!$B:$B,$A9,Ngan_hang_cau_hoi!$F:$F,$B9,Ngan_hang_cau_hoi!$Z:$Z,"Soạn thêm")</f>
        <v/>
      </c>
      <c r="G9" s="14">
        <f>COUNTIFS(Ngan_hang_cau_hoi!$B:$B,$A9,Ngan_hang_cau_hoi!$F:$F,$B9,Ngan_hang_cau_hoi!$S:$S,"&lt;&gt;")</f>
        <v/>
      </c>
      <c r="H9" s="14">
        <f>IFERROR(ROUND(AVERAGEIFS(Ngan_hang_cau_hoi!$T:$T,Ngan_hang_cau_hoi!$B:$B,$A9,Ngan_hang_cau_hoi!$F:$F,$B9),0),0)</f>
        <v/>
      </c>
      <c r="I9" s="14">
        <f>INDEX(Khung_cap_do!$H$2:$H$6,$B9)</f>
        <v/>
      </c>
      <c r="J9" s="14">
        <f>COUNTIFS(Bai_tap_theo_sach!$B:$B,$A9,Bai_tap_theo_sach!$H:$H,$B9)</f>
        <v/>
      </c>
    </row>
    <row r="10">
      <c r="A10" s="3" t="inlineStr">
        <is>
          <t>Tiếng Việt</t>
        </is>
      </c>
      <c r="B10" s="16" t="n">
        <v>3</v>
      </c>
      <c r="C10" s="14" t="inlineStr">
        <is>
          <t>Vận dụng</t>
        </is>
      </c>
      <c r="D10" s="14">
        <f>COUNTIFS(Ngan_hang_cau_hoi!$B:$B,$A10,Ngan_hang_cau_hoi!$F:$F,$B10)</f>
        <v/>
      </c>
      <c r="E10" s="14">
        <f>COUNTIFS(Ngan_hang_cau_hoi!$B:$B,$A10,Ngan_hang_cau_hoi!$F:$F,$B10,Ngan_hang_cau_hoi!$Z:$Z,"Bộ mẫu")</f>
        <v/>
      </c>
      <c r="F10" s="14">
        <f>COUNTIFS(Ngan_hang_cau_hoi!$B:$B,$A10,Ngan_hang_cau_hoi!$F:$F,$B10,Ngan_hang_cau_hoi!$Z:$Z,"Soạn thêm")</f>
        <v/>
      </c>
      <c r="G10" s="14">
        <f>COUNTIFS(Ngan_hang_cau_hoi!$B:$B,$A10,Ngan_hang_cau_hoi!$F:$F,$B10,Ngan_hang_cau_hoi!$S:$S,"&lt;&gt;")</f>
        <v/>
      </c>
      <c r="H10" s="14">
        <f>IFERROR(ROUND(AVERAGEIFS(Ngan_hang_cau_hoi!$T:$T,Ngan_hang_cau_hoi!$B:$B,$A10,Ngan_hang_cau_hoi!$F:$F,$B10),0),0)</f>
        <v/>
      </c>
      <c r="I10" s="14">
        <f>INDEX(Khung_cap_do!$H$2:$H$6,$B10)</f>
        <v/>
      </c>
      <c r="J10" s="14">
        <f>COUNTIFS(Bai_tap_theo_sach!$B:$B,$A10,Bai_tap_theo_sach!$H:$H,$B10)</f>
        <v/>
      </c>
    </row>
    <row r="11">
      <c r="A11" s="3" t="inlineStr">
        <is>
          <t>Tiếng Việt</t>
        </is>
      </c>
      <c r="B11" s="17" t="n">
        <v>4</v>
      </c>
      <c r="C11" s="14" t="inlineStr">
        <is>
          <t>Thử thách</t>
        </is>
      </c>
      <c r="D11" s="14">
        <f>COUNTIFS(Ngan_hang_cau_hoi!$B:$B,$A11,Ngan_hang_cau_hoi!$F:$F,$B11)</f>
        <v/>
      </c>
      <c r="E11" s="14">
        <f>COUNTIFS(Ngan_hang_cau_hoi!$B:$B,$A11,Ngan_hang_cau_hoi!$F:$F,$B11,Ngan_hang_cau_hoi!$Z:$Z,"Bộ mẫu")</f>
        <v/>
      </c>
      <c r="F11" s="14">
        <f>COUNTIFS(Ngan_hang_cau_hoi!$B:$B,$A11,Ngan_hang_cau_hoi!$F:$F,$B11,Ngan_hang_cau_hoi!$Z:$Z,"Soạn thêm")</f>
        <v/>
      </c>
      <c r="G11" s="14">
        <f>COUNTIFS(Ngan_hang_cau_hoi!$B:$B,$A11,Ngan_hang_cau_hoi!$F:$F,$B11,Ngan_hang_cau_hoi!$S:$S,"&lt;&gt;")</f>
        <v/>
      </c>
      <c r="H11" s="14">
        <f>IFERROR(ROUND(AVERAGEIFS(Ngan_hang_cau_hoi!$T:$T,Ngan_hang_cau_hoi!$B:$B,$A11,Ngan_hang_cau_hoi!$F:$F,$B11),0),0)</f>
        <v/>
      </c>
      <c r="I11" s="14">
        <f>INDEX(Khung_cap_do!$H$2:$H$6,$B11)</f>
        <v/>
      </c>
      <c r="J11" s="14">
        <f>COUNTIFS(Bai_tap_theo_sach!$B:$B,$A11,Bai_tap_theo_sach!$H:$H,$B11)</f>
        <v/>
      </c>
    </row>
    <row r="12">
      <c r="A12" s="3" t="inlineStr">
        <is>
          <t>Tiếng Việt</t>
        </is>
      </c>
      <c r="B12" s="18" t="n">
        <v>5</v>
      </c>
      <c r="C12" s="14" t="inlineStr">
        <is>
          <t>Mở rộng</t>
        </is>
      </c>
      <c r="D12" s="14">
        <f>COUNTIFS(Ngan_hang_cau_hoi!$B:$B,$A12,Ngan_hang_cau_hoi!$F:$F,$B12)</f>
        <v/>
      </c>
      <c r="E12" s="14">
        <f>COUNTIFS(Ngan_hang_cau_hoi!$B:$B,$A12,Ngan_hang_cau_hoi!$F:$F,$B12,Ngan_hang_cau_hoi!$Z:$Z,"Bộ mẫu")</f>
        <v/>
      </c>
      <c r="F12" s="14">
        <f>COUNTIFS(Ngan_hang_cau_hoi!$B:$B,$A12,Ngan_hang_cau_hoi!$F:$F,$B12,Ngan_hang_cau_hoi!$Z:$Z,"Soạn thêm")</f>
        <v/>
      </c>
      <c r="G12" s="14">
        <f>COUNTIFS(Ngan_hang_cau_hoi!$B:$B,$A12,Ngan_hang_cau_hoi!$F:$F,$B12,Ngan_hang_cau_hoi!$S:$S,"&lt;&gt;")</f>
        <v/>
      </c>
      <c r="H12" s="14">
        <f>IFERROR(ROUND(AVERAGEIFS(Ngan_hang_cau_hoi!$T:$T,Ngan_hang_cau_hoi!$B:$B,$A12,Ngan_hang_cau_hoi!$F:$F,$B12),0),0)</f>
        <v/>
      </c>
      <c r="I12" s="14">
        <f>INDEX(Khung_cap_do!$H$2:$H$6,$B12)</f>
        <v/>
      </c>
      <c r="J12" s="14">
        <f>COUNTIFS(Bai_tap_theo_sach!$B:$B,$A12,Bai_tap_theo_sach!$H:$H,$B12)</f>
        <v/>
      </c>
    </row>
    <row r="13">
      <c r="A13" s="19" t="inlineStr">
        <is>
          <t>Cộng Tiếng Việt</t>
        </is>
      </c>
      <c r="B13" s="20" t="n"/>
      <c r="C13" s="20" t="n"/>
      <c r="D13" s="20">
        <f>SUM(D8:D12)</f>
        <v/>
      </c>
      <c r="E13" s="20">
        <f>SUM(E8:E12)</f>
        <v/>
      </c>
      <c r="F13" s="20">
        <f>SUM(F8:F12)</f>
        <v/>
      </c>
      <c r="G13" s="20">
        <f>SUM(G8:G12)</f>
        <v/>
      </c>
      <c r="H13" s="20">
        <f>IFERROR(ROUND(AVERAGEIFS(Ngan_hang_cau_hoi!$T:$T,Ngan_hang_cau_hoi!$B:$B,"Tiếng Việt"),0),0)</f>
        <v/>
      </c>
      <c r="I13" s="20" t="n"/>
      <c r="J13" s="20">
        <f>SUM(J8:J12)</f>
        <v/>
      </c>
    </row>
    <row r="14">
      <c r="A14" s="3" t="inlineStr">
        <is>
          <t>Tiếng Anh</t>
        </is>
      </c>
      <c r="B14" s="13" t="n">
        <v>1</v>
      </c>
      <c r="C14" s="14" t="inlineStr">
        <is>
          <t>Làm quen</t>
        </is>
      </c>
      <c r="D14" s="14">
        <f>COUNTIFS(Ngan_hang_cau_hoi!$B:$B,$A14,Ngan_hang_cau_hoi!$F:$F,$B14)</f>
        <v/>
      </c>
      <c r="E14" s="14">
        <f>COUNTIFS(Ngan_hang_cau_hoi!$B:$B,$A14,Ngan_hang_cau_hoi!$F:$F,$B14,Ngan_hang_cau_hoi!$Z:$Z,"Bộ mẫu")</f>
        <v/>
      </c>
      <c r="F14" s="14">
        <f>COUNTIFS(Ngan_hang_cau_hoi!$B:$B,$A14,Ngan_hang_cau_hoi!$F:$F,$B14,Ngan_hang_cau_hoi!$Z:$Z,"Soạn thêm")</f>
        <v/>
      </c>
      <c r="G14" s="14">
        <f>COUNTIFS(Ngan_hang_cau_hoi!$B:$B,$A14,Ngan_hang_cau_hoi!$F:$F,$B14,Ngan_hang_cau_hoi!$S:$S,"&lt;&gt;")</f>
        <v/>
      </c>
      <c r="H14" s="14">
        <f>IFERROR(ROUND(AVERAGEIFS(Ngan_hang_cau_hoi!$T:$T,Ngan_hang_cau_hoi!$B:$B,$A14,Ngan_hang_cau_hoi!$F:$F,$B14),0),0)</f>
        <v/>
      </c>
      <c r="I14" s="14">
        <f>INDEX(Khung_cap_do!$H$2:$H$6,$B14)</f>
        <v/>
      </c>
      <c r="J14" s="14">
        <f>COUNTIFS(Bai_tap_theo_sach!$B:$B,$A14,Bai_tap_theo_sach!$H:$H,$B14)</f>
        <v/>
      </c>
    </row>
    <row r="15">
      <c r="A15" s="3" t="inlineStr">
        <is>
          <t>Tiếng Anh</t>
        </is>
      </c>
      <c r="B15" s="15" t="n">
        <v>2</v>
      </c>
      <c r="C15" s="14" t="inlineStr">
        <is>
          <t>Cơ bản</t>
        </is>
      </c>
      <c r="D15" s="14">
        <f>COUNTIFS(Ngan_hang_cau_hoi!$B:$B,$A15,Ngan_hang_cau_hoi!$F:$F,$B15)</f>
        <v/>
      </c>
      <c r="E15" s="14">
        <f>COUNTIFS(Ngan_hang_cau_hoi!$B:$B,$A15,Ngan_hang_cau_hoi!$F:$F,$B15,Ngan_hang_cau_hoi!$Z:$Z,"Bộ mẫu")</f>
        <v/>
      </c>
      <c r="F15" s="14">
        <f>COUNTIFS(Ngan_hang_cau_hoi!$B:$B,$A15,Ngan_hang_cau_hoi!$F:$F,$B15,Ngan_hang_cau_hoi!$Z:$Z,"Soạn thêm")</f>
        <v/>
      </c>
      <c r="G15" s="14">
        <f>COUNTIFS(Ngan_hang_cau_hoi!$B:$B,$A15,Ngan_hang_cau_hoi!$F:$F,$B15,Ngan_hang_cau_hoi!$S:$S,"&lt;&gt;")</f>
        <v/>
      </c>
      <c r="H15" s="14">
        <f>IFERROR(ROUND(AVERAGEIFS(Ngan_hang_cau_hoi!$T:$T,Ngan_hang_cau_hoi!$B:$B,$A15,Ngan_hang_cau_hoi!$F:$F,$B15),0),0)</f>
        <v/>
      </c>
      <c r="I15" s="14">
        <f>INDEX(Khung_cap_do!$H$2:$H$6,$B15)</f>
        <v/>
      </c>
      <c r="J15" s="14">
        <f>COUNTIFS(Bai_tap_theo_sach!$B:$B,$A15,Bai_tap_theo_sach!$H:$H,$B15)</f>
        <v/>
      </c>
    </row>
    <row r="16">
      <c r="A16" s="3" t="inlineStr">
        <is>
          <t>Tiếng Anh</t>
        </is>
      </c>
      <c r="B16" s="16" t="n">
        <v>3</v>
      </c>
      <c r="C16" s="14" t="inlineStr">
        <is>
          <t>Vận dụng</t>
        </is>
      </c>
      <c r="D16" s="14">
        <f>COUNTIFS(Ngan_hang_cau_hoi!$B:$B,$A16,Ngan_hang_cau_hoi!$F:$F,$B16)</f>
        <v/>
      </c>
      <c r="E16" s="14">
        <f>COUNTIFS(Ngan_hang_cau_hoi!$B:$B,$A16,Ngan_hang_cau_hoi!$F:$F,$B16,Ngan_hang_cau_hoi!$Z:$Z,"Bộ mẫu")</f>
        <v/>
      </c>
      <c r="F16" s="14">
        <f>COUNTIFS(Ngan_hang_cau_hoi!$B:$B,$A16,Ngan_hang_cau_hoi!$F:$F,$B16,Ngan_hang_cau_hoi!$Z:$Z,"Soạn thêm")</f>
        <v/>
      </c>
      <c r="G16" s="14">
        <f>COUNTIFS(Ngan_hang_cau_hoi!$B:$B,$A16,Ngan_hang_cau_hoi!$F:$F,$B16,Ngan_hang_cau_hoi!$S:$S,"&lt;&gt;")</f>
        <v/>
      </c>
      <c r="H16" s="14">
        <f>IFERROR(ROUND(AVERAGEIFS(Ngan_hang_cau_hoi!$T:$T,Ngan_hang_cau_hoi!$B:$B,$A16,Ngan_hang_cau_hoi!$F:$F,$B16),0),0)</f>
        <v/>
      </c>
      <c r="I16" s="14">
        <f>INDEX(Khung_cap_do!$H$2:$H$6,$B16)</f>
        <v/>
      </c>
      <c r="J16" s="14">
        <f>COUNTIFS(Bai_tap_theo_sach!$B:$B,$A16,Bai_tap_theo_sach!$H:$H,$B16)</f>
        <v/>
      </c>
    </row>
    <row r="17">
      <c r="A17" s="3" t="inlineStr">
        <is>
          <t>Tiếng Anh</t>
        </is>
      </c>
      <c r="B17" s="17" t="n">
        <v>4</v>
      </c>
      <c r="C17" s="14" t="inlineStr">
        <is>
          <t>Thử thách</t>
        </is>
      </c>
      <c r="D17" s="14">
        <f>COUNTIFS(Ngan_hang_cau_hoi!$B:$B,$A17,Ngan_hang_cau_hoi!$F:$F,$B17)</f>
        <v/>
      </c>
      <c r="E17" s="14">
        <f>COUNTIFS(Ngan_hang_cau_hoi!$B:$B,$A17,Ngan_hang_cau_hoi!$F:$F,$B17,Ngan_hang_cau_hoi!$Z:$Z,"Bộ mẫu")</f>
        <v/>
      </c>
      <c r="F17" s="14">
        <f>COUNTIFS(Ngan_hang_cau_hoi!$B:$B,$A17,Ngan_hang_cau_hoi!$F:$F,$B17,Ngan_hang_cau_hoi!$Z:$Z,"Soạn thêm")</f>
        <v/>
      </c>
      <c r="G17" s="14">
        <f>COUNTIFS(Ngan_hang_cau_hoi!$B:$B,$A17,Ngan_hang_cau_hoi!$F:$F,$B17,Ngan_hang_cau_hoi!$S:$S,"&lt;&gt;")</f>
        <v/>
      </c>
      <c r="H17" s="14">
        <f>IFERROR(ROUND(AVERAGEIFS(Ngan_hang_cau_hoi!$T:$T,Ngan_hang_cau_hoi!$B:$B,$A17,Ngan_hang_cau_hoi!$F:$F,$B17),0),0)</f>
        <v/>
      </c>
      <c r="I17" s="14">
        <f>INDEX(Khung_cap_do!$H$2:$H$6,$B17)</f>
        <v/>
      </c>
      <c r="J17" s="14">
        <f>COUNTIFS(Bai_tap_theo_sach!$B:$B,$A17,Bai_tap_theo_sach!$H:$H,$B17)</f>
        <v/>
      </c>
    </row>
    <row r="18">
      <c r="A18" s="3" t="inlineStr">
        <is>
          <t>Tiếng Anh</t>
        </is>
      </c>
      <c r="B18" s="18" t="n">
        <v>5</v>
      </c>
      <c r="C18" s="14" t="inlineStr">
        <is>
          <t>Mở rộng</t>
        </is>
      </c>
      <c r="D18" s="14">
        <f>COUNTIFS(Ngan_hang_cau_hoi!$B:$B,$A18,Ngan_hang_cau_hoi!$F:$F,$B18)</f>
        <v/>
      </c>
      <c r="E18" s="14">
        <f>COUNTIFS(Ngan_hang_cau_hoi!$B:$B,$A18,Ngan_hang_cau_hoi!$F:$F,$B18,Ngan_hang_cau_hoi!$Z:$Z,"Bộ mẫu")</f>
        <v/>
      </c>
      <c r="F18" s="14">
        <f>COUNTIFS(Ngan_hang_cau_hoi!$B:$B,$A18,Ngan_hang_cau_hoi!$F:$F,$B18,Ngan_hang_cau_hoi!$Z:$Z,"Soạn thêm")</f>
        <v/>
      </c>
      <c r="G18" s="14">
        <f>COUNTIFS(Ngan_hang_cau_hoi!$B:$B,$A18,Ngan_hang_cau_hoi!$F:$F,$B18,Ngan_hang_cau_hoi!$S:$S,"&lt;&gt;")</f>
        <v/>
      </c>
      <c r="H18" s="14">
        <f>IFERROR(ROUND(AVERAGEIFS(Ngan_hang_cau_hoi!$T:$T,Ngan_hang_cau_hoi!$B:$B,$A18,Ngan_hang_cau_hoi!$F:$F,$B18),0),0)</f>
        <v/>
      </c>
      <c r="I18" s="14">
        <f>INDEX(Khung_cap_do!$H$2:$H$6,$B18)</f>
        <v/>
      </c>
      <c r="J18" s="14">
        <f>COUNTIFS(Bai_tap_theo_sach!$B:$B,$A18,Bai_tap_theo_sach!$H:$H,$B18)</f>
        <v/>
      </c>
    </row>
    <row r="19">
      <c r="A19" s="19" t="inlineStr">
        <is>
          <t>Cộng Tiếng Anh</t>
        </is>
      </c>
      <c r="B19" s="20" t="n"/>
      <c r="C19" s="20" t="n"/>
      <c r="D19" s="20">
        <f>SUM(D14:D18)</f>
        <v/>
      </c>
      <c r="E19" s="20">
        <f>SUM(E14:E18)</f>
        <v/>
      </c>
      <c r="F19" s="20">
        <f>SUM(F14:F18)</f>
        <v/>
      </c>
      <c r="G19" s="20">
        <f>SUM(G14:G18)</f>
        <v/>
      </c>
      <c r="H19" s="20">
        <f>IFERROR(ROUND(AVERAGEIFS(Ngan_hang_cau_hoi!$T:$T,Ngan_hang_cau_hoi!$B:$B,"Tiếng Anh"),0),0)</f>
        <v/>
      </c>
      <c r="I19" s="20" t="n"/>
      <c r="J19" s="20">
        <f>SUM(J14:J18)</f>
        <v/>
      </c>
    </row>
    <row r="20">
      <c r="A20" s="19" t="inlineStr">
        <is>
          <t>TỔNG CỘNG</t>
        </is>
      </c>
      <c r="B20" s="20" t="n"/>
      <c r="C20" s="20" t="n"/>
      <c r="D20" s="20">
        <f>D7+D13+D19</f>
        <v/>
      </c>
      <c r="E20" s="20">
        <f>E7+E13+E19</f>
        <v/>
      </c>
      <c r="F20" s="20">
        <f>F7+F13+F19</f>
        <v/>
      </c>
      <c r="G20" s="20">
        <f>G7+G13+G19</f>
        <v/>
      </c>
      <c r="H20" s="20">
        <f>IFERROR(ROUND(AVERAGE(Ngan_hang_cau_hoi!$T:$T),0),0)</f>
        <v/>
      </c>
      <c r="I20" s="20" t="n"/>
      <c r="J20" s="20">
        <f>J7+J13+J19</f>
        <v/>
      </c>
    </row>
    <row r="22">
      <c r="A22" s="21" t="inlineStr">
        <is>
          <t>Mọi số liệu là công thức đếm từ sheet Ngan_hang_cau_hoi và Bai_tap_theo_sach.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6" customWidth="1" min="3" max="3"/>
    <col width="24" customWidth="1" min="4" max="4"/>
    <col width="20" customWidth="1" min="5" max="5"/>
    <col width="8" customWidth="1" min="6" max="6"/>
    <col width="12" customWidth="1" min="7" max="7"/>
    <col width="10" customWidth="1" min="8" max="8"/>
    <col width="30" customWidth="1" min="9" max="9"/>
    <col width="14" customWidth="1" min="10" max="10"/>
    <col width="46" customWidth="1" min="11" max="11"/>
    <col width="16" customWidth="1" min="12" max="12"/>
    <col width="16" customWidth="1" min="13" max="13"/>
    <col width="16" customWidth="1" min="14" max="14"/>
    <col width="16" customWidth="1" min="15" max="15"/>
    <col width="12" customWidth="1" min="16" max="16"/>
    <col width="22" customWidth="1" min="17" max="17"/>
    <col width="36" customWidth="1" min="18" max="18"/>
    <col width="40" customWidth="1" min="19" max="19"/>
    <col width="10" customWidth="1" min="20" max="20"/>
    <col width="9" customWidth="1" min="21" max="21"/>
    <col width="7" customWidth="1" min="22" max="22"/>
    <col width="8" customWidth="1" min="23" max="23"/>
    <col width="12" customWidth="1" min="24" max="24"/>
    <col width="14" customWidth="1" min="25" max="25"/>
    <col width="11" customWidth="1" min="26" max="26"/>
    <col width="40" customWidth="1" min="27" max="27"/>
    <col width="32" customWidth="1" min="28" max="28"/>
    <col width="36" customWidth="1" min="29" max="29"/>
    <col width="30" customWidth="1" min="30" max="30"/>
    <col width="20" customWidth="1" min="31" max="31"/>
    <col width="18" customWidth="1" min="32" max="32"/>
    <col width="30" customWidth="1" min="33" max="33"/>
  </cols>
  <sheetData>
    <row r="1" ht="34" customHeight="1">
      <c r="A1" s="1" t="inlineStr">
        <is>
          <t>ID</t>
        </is>
      </c>
      <c r="B1" s="1" t="inlineStr">
        <is>
          <t>Môn học</t>
        </is>
      </c>
      <c r="C1" s="1" t="inlineStr">
        <is>
          <t>Lớp</t>
        </is>
      </c>
      <c r="D1" s="1" t="inlineStr">
        <is>
          <t>Giai đoạn gợi ý</t>
        </is>
      </c>
      <c r="E1" s="1" t="inlineStr">
        <is>
          <t>Chủ đề / kỹ năng</t>
        </is>
      </c>
      <c r="F1" s="1" t="inlineStr">
        <is>
          <t>Cấp độ</t>
        </is>
      </c>
      <c r="G1" s="1" t="inlineStr">
        <is>
          <t>Tên cấp độ</t>
        </is>
      </c>
      <c r="H1" s="1" t="inlineStr">
        <is>
          <t>Cấp độ cũ (bộ mẫu)</t>
        </is>
      </c>
      <c r="I1" s="1" t="inlineStr">
        <is>
          <t>Lý do điều chỉnh cấp độ</t>
        </is>
      </c>
      <c r="J1" s="1" t="inlineStr">
        <is>
          <t>Loại câu hỏi</t>
        </is>
      </c>
      <c r="K1" s="1" t="inlineStr">
        <is>
          <t>Câu hỏi / nhiệm vụ</t>
        </is>
      </c>
      <c r="L1" s="1" t="inlineStr">
        <is>
          <t>Lựa chọn A</t>
        </is>
      </c>
      <c r="M1" s="1" t="inlineStr">
        <is>
          <t>Lựa chọn B</t>
        </is>
      </c>
      <c r="N1" s="1" t="inlineStr">
        <is>
          <t>Lựa chọn C</t>
        </is>
      </c>
      <c r="O1" s="1" t="inlineStr">
        <is>
          <t>Lựa chọn D</t>
        </is>
      </c>
      <c r="P1" s="1" t="inlineStr">
        <is>
          <t>Lựa chọn E</t>
        </is>
      </c>
      <c r="Q1" s="1" t="inlineStr">
        <is>
          <t>Đáp án đúng</t>
        </is>
      </c>
      <c r="R1" s="1" t="inlineStr">
        <is>
          <t>Lời giải / phản hồi</t>
        </is>
      </c>
      <c r="S1" s="1" t="inlineStr">
        <is>
          <t>Lời giải chi tiết</t>
        </is>
      </c>
      <c r="T1" s="1" t="inlineStr">
        <is>
          <t>Thời gian (giây)</t>
        </is>
      </c>
      <c r="U1" s="1" t="inlineStr">
        <is>
          <t>Điểm khi đúng</t>
        </is>
      </c>
      <c r="V1" s="1" t="inlineStr">
        <is>
          <t>Đề ôn</t>
        </is>
      </c>
      <c r="W1" s="1" t="inlineStr">
        <is>
          <t>Thứ tự trong đề</t>
        </is>
      </c>
      <c r="X1" s="1" t="inlineStr">
        <is>
          <t>Mã YCCĐ</t>
        </is>
      </c>
      <c r="Y1" s="1" t="inlineStr">
        <is>
          <t>Mã dạng bài</t>
        </is>
      </c>
      <c r="Z1" s="1" t="inlineStr">
        <is>
          <t>Nguồn câu</t>
        </is>
      </c>
      <c r="AA1" s="1" t="inlineStr">
        <is>
          <t>Bản dùng trong app (nếu khác câu gốc)</t>
        </is>
      </c>
      <c r="AB1" s="1" t="inlineStr">
        <is>
          <t>Điều kiện tiên quyết</t>
        </is>
      </c>
      <c r="AC1" s="1" t="inlineStr">
        <is>
          <t>Căn cứ chương trình / lưu ý đối chiếu</t>
        </is>
      </c>
      <c r="AD1" s="1" t="inlineStr">
        <is>
          <t>Nguồn / phạm vi</t>
        </is>
      </c>
      <c r="AE1" s="1" t="inlineStr">
        <is>
          <t>Trạng thái nội dung</t>
        </is>
      </c>
      <c r="AF1" s="1" t="inlineStr">
        <is>
          <t>Trạng thái giáo viên</t>
        </is>
      </c>
      <c r="AG1" s="1" t="inlineStr">
        <is>
          <t>Ghi chú kiểm duyệt</t>
        </is>
      </c>
    </row>
    <row r="2">
      <c r="A2" s="3" t="inlineStr">
        <is>
          <t>EC1-001</t>
        </is>
      </c>
      <c r="B2" s="3" t="inlineStr">
        <is>
          <t>Toán</t>
        </is>
      </c>
      <c r="C2" s="22" t="n">
        <v>1</v>
      </c>
      <c r="D2" s="3" t="inlineStr">
        <is>
          <t>Sau khi học số tương ứng</t>
        </is>
      </c>
      <c r="E2" s="3" t="inlineStr">
        <is>
          <t>Nhận biết số</t>
        </is>
      </c>
      <c r="F2" s="23" t="n">
        <v>1</v>
      </c>
      <c r="G2" s="3" t="inlineStr">
        <is>
          <t>Làm quen</t>
        </is>
      </c>
      <c r="H2" s="22" t="n"/>
      <c r="I2" s="3" t="n"/>
      <c r="J2" s="3" t="inlineStr">
        <is>
          <t>Chọn đáp án</t>
        </is>
      </c>
      <c r="K2" s="3" t="inlineStr">
        <is>
          <t>Có 3 quả táo. Số quả táo là số nào?</t>
        </is>
      </c>
      <c r="L2" s="3" t="inlineStr">
        <is>
          <t>2</t>
        </is>
      </c>
      <c r="M2" s="3" t="inlineStr">
        <is>
          <t>3</t>
        </is>
      </c>
      <c r="N2" s="3" t="inlineStr">
        <is>
          <t>4</t>
        </is>
      </c>
      <c r="O2" s="3" t="n"/>
      <c r="P2" s="3" t="n"/>
      <c r="Q2" s="3" t="inlineStr">
        <is>
          <t>B</t>
        </is>
      </c>
      <c r="R2" s="3" t="inlineStr">
        <is>
          <t>Đếm lần lượt 1, 2, 3 quả; có 3 quả.</t>
        </is>
      </c>
      <c r="S2" s="3" t="n"/>
      <c r="T2" s="22" t="n">
        <v>30</v>
      </c>
      <c r="U2" s="22">
        <f>INDEX(Khung_cap_do!$H$2:$H$6,F2)</f>
        <v/>
      </c>
      <c r="V2" s="22" t="n">
        <v>1</v>
      </c>
      <c r="W2" s="22" t="n">
        <v>1</v>
      </c>
      <c r="X2" s="3" t="inlineStr">
        <is>
          <t>T1.SO.01</t>
        </is>
      </c>
      <c r="Y2" s="3" t="inlineStr">
        <is>
          <t>TOAN.DEM</t>
        </is>
      </c>
      <c r="Z2" s="3" t="inlineStr">
        <is>
          <t>Bộ mẫu</t>
        </is>
      </c>
      <c r="AA2" s="3" t="inlineStr"/>
      <c r="AB2" s="3" t="inlineStr">
        <is>
          <t>Đã học nhận biết số 1–3 và đếm đồ vật tương ứng.</t>
        </is>
      </c>
      <c r="AC2" s="3" t="inlineStr">
        <is>
          <t>Minh họa yêu cầu nhận biết số và đếm; giáo viên gắn với tiến trình SGK.</t>
        </is>
      </c>
      <c r="AD2" s="3" t="inlineStr">
        <is>
          <t>Chương trình GDPT 2018 / kế hoạch dạy học của trường; đối chiếu văn bản hiện hành</t>
        </is>
      </c>
      <c r="AE2" s="3" t="inlineStr">
        <is>
          <t>Bản mẫu — cần rà soát</t>
        </is>
      </c>
      <c r="AF2" s="3" t="inlineStr">
        <is>
          <t>Chờ giáo viên duyệt</t>
        </is>
      </c>
      <c r="AG2" s="3" t="n"/>
    </row>
    <row r="3">
      <c r="A3" s="3" t="inlineStr">
        <is>
          <t>EC1-002</t>
        </is>
      </c>
      <c r="B3" s="3" t="inlineStr">
        <is>
          <t>Toán</t>
        </is>
      </c>
      <c r="C3" s="22" t="n">
        <v>1</v>
      </c>
      <c r="D3" s="3" t="inlineStr">
        <is>
          <t>Sau khi học so sánh số</t>
        </is>
      </c>
      <c r="E3" s="3" t="inlineStr">
        <is>
          <t>So sánh số</t>
        </is>
      </c>
      <c r="F3" s="23" t="n">
        <v>1</v>
      </c>
      <c r="G3" s="3" t="inlineStr">
        <is>
          <t>Làm quen</t>
        </is>
      </c>
      <c r="H3" s="22" t="n"/>
      <c r="I3" s="3" t="n"/>
      <c r="J3" s="3" t="inlineStr">
        <is>
          <t>Chọn đáp án</t>
        </is>
      </c>
      <c r="K3" s="3" t="inlineStr">
        <is>
          <t>Số nào bé hơn 4?</t>
        </is>
      </c>
      <c r="L3" s="3" t="inlineStr">
        <is>
          <t>5</t>
        </is>
      </c>
      <c r="M3" s="3" t="inlineStr">
        <is>
          <t>3</t>
        </is>
      </c>
      <c r="N3" s="3" t="inlineStr">
        <is>
          <t>6</t>
        </is>
      </c>
      <c r="O3" s="3" t="n"/>
      <c r="P3" s="3" t="n"/>
      <c r="Q3" s="3" t="inlineStr">
        <is>
          <t>B</t>
        </is>
      </c>
      <c r="R3" s="3" t="inlineStr">
        <is>
          <t>3 bé hơn 4.</t>
        </is>
      </c>
      <c r="S3" s="3" t="n"/>
      <c r="T3" s="22" t="n">
        <v>30</v>
      </c>
      <c r="U3" s="22">
        <f>INDEX(Khung_cap_do!$H$2:$H$6,F3)</f>
        <v/>
      </c>
      <c r="V3" s="22" t="n">
        <v>1</v>
      </c>
      <c r="W3" s="22" t="n">
        <v>2</v>
      </c>
      <c r="X3" s="3" t="inlineStr">
        <is>
          <t>T1.SO.02</t>
        </is>
      </c>
      <c r="Y3" s="3" t="inlineStr">
        <is>
          <t>TOAN.SOSANH</t>
        </is>
      </c>
      <c r="Z3" s="3" t="inlineStr">
        <is>
          <t>Bộ mẫu</t>
        </is>
      </c>
      <c r="AA3" s="3" t="inlineStr"/>
      <c r="AB3" s="3" t="inlineStr">
        <is>
          <t>Các số trong lựa chọn và ý niệm so sánh đã được học.</t>
        </is>
      </c>
      <c r="AC3" s="3" t="inlineStr">
        <is>
          <t>Bài tập nhận biết quan hệ số trong phạm vi đã học.</t>
        </is>
      </c>
      <c r="AD3" s="3" t="inlineStr">
        <is>
          <t>Chương trình GDPT 2018 / kế hoạch dạy học của trường; đối chiếu văn bản hiện hành</t>
        </is>
      </c>
      <c r="AE3" s="3" t="inlineStr">
        <is>
          <t>Bản mẫu — cần rà soát</t>
        </is>
      </c>
      <c r="AF3" s="3" t="inlineStr">
        <is>
          <t>Chờ giáo viên duyệt</t>
        </is>
      </c>
      <c r="AG3" s="3" t="n"/>
    </row>
    <row r="4">
      <c r="A4" s="3" t="inlineStr">
        <is>
          <t>EC1-003</t>
        </is>
      </c>
      <c r="B4" s="3" t="inlineStr">
        <is>
          <t>Toán</t>
        </is>
      </c>
      <c r="C4" s="22" t="n">
        <v>1</v>
      </c>
      <c r="D4" s="3" t="inlineStr">
        <is>
          <t>Sau khi học hình dạng</t>
        </is>
      </c>
      <c r="E4" s="3" t="inlineStr">
        <is>
          <t>Hình dạng</t>
        </is>
      </c>
      <c r="F4" s="23" t="n">
        <v>1</v>
      </c>
      <c r="G4" s="3" t="inlineStr">
        <is>
          <t>Làm quen</t>
        </is>
      </c>
      <c r="H4" s="22" t="n"/>
      <c r="I4" s="3" t="n"/>
      <c r="J4" s="3" t="inlineStr">
        <is>
          <t>Chọn đáp án</t>
        </is>
      </c>
      <c r="K4" s="3" t="inlineStr">
        <is>
          <t>Vật nào thường có dạng hình tròn?</t>
        </is>
      </c>
      <c r="L4" s="3" t="inlineStr">
        <is>
          <t>Quả bóng</t>
        </is>
      </c>
      <c r="M4" s="3" t="inlineStr">
        <is>
          <t>Quyển sách</t>
        </is>
      </c>
      <c r="N4" s="3" t="inlineStr">
        <is>
          <t>Hộp vuông</t>
        </is>
      </c>
      <c r="O4" s="3" t="n"/>
      <c r="P4" s="3" t="n"/>
      <c r="Q4" s="3" t="inlineStr">
        <is>
          <t>A</t>
        </is>
      </c>
      <c r="R4" s="3" t="inlineStr">
        <is>
          <t>Quả bóng được minh họa bằng dạng tròn.</t>
        </is>
      </c>
      <c r="S4" s="3" t="n"/>
      <c r="T4" s="22" t="n">
        <v>30</v>
      </c>
      <c r="U4" s="22">
        <f>INDEX(Khung_cap_do!$H$2:$H$6,F4)</f>
        <v/>
      </c>
      <c r="V4" s="22" t="n">
        <v>2</v>
      </c>
      <c r="W4" s="22" t="n">
        <v>1</v>
      </c>
      <c r="X4" s="3" t="inlineStr">
        <is>
          <t>T1.HH.02</t>
        </is>
      </c>
      <c r="Y4" s="3" t="inlineStr">
        <is>
          <t>TOAN.HINH</t>
        </is>
      </c>
      <c r="Z4" s="3" t="inlineStr">
        <is>
          <t>Bộ mẫu</t>
        </is>
      </c>
      <c r="AA4" s="3" t="inlineStr"/>
      <c r="AB4" s="3" t="inlineStr">
        <is>
          <t>Đã làm quen với hình dạng được dùng.</t>
        </is>
      </c>
      <c r="AC4" s="3" t="inlineStr">
        <is>
          <t>Nhận dạng trực quan; hình minh họa phải rõ.</t>
        </is>
      </c>
      <c r="AD4" s="3" t="inlineStr">
        <is>
          <t>Chương trình GDPT 2018 / kế hoạch dạy học của trường; đối chiếu văn bản hiện hành</t>
        </is>
      </c>
      <c r="AE4" s="3" t="inlineStr">
        <is>
          <t>Bản mẫu — cần rà soát</t>
        </is>
      </c>
      <c r="AF4" s="3" t="inlineStr">
        <is>
          <t>Chờ giáo viên duyệt</t>
        </is>
      </c>
      <c r="AG4" s="3" t="n"/>
    </row>
    <row r="5">
      <c r="A5" s="3" t="inlineStr">
        <is>
          <t>EC1-046</t>
        </is>
      </c>
      <c r="B5" s="3" t="inlineStr">
        <is>
          <t>Toán</t>
        </is>
      </c>
      <c r="C5" s="22" t="n">
        <v>1</v>
      </c>
      <c r="D5" s="3" t="inlineStr">
        <is>
          <t>Sau khi học các số 0–5</t>
        </is>
      </c>
      <c r="E5" s="3" t="inlineStr">
        <is>
          <t>Đếm số lượng</t>
        </is>
      </c>
      <c r="F5" s="23" t="n">
        <v>1</v>
      </c>
      <c r="G5" s="3" t="inlineStr">
        <is>
          <t>Làm quen</t>
        </is>
      </c>
      <c r="H5" s="22" t="n"/>
      <c r="I5" s="3" t="n"/>
      <c r="J5" s="3" t="inlineStr">
        <is>
          <t>Chọn đáp án</t>
        </is>
      </c>
      <c r="K5" s="3" t="inlineStr">
        <is>
          <t>Đếm số ngôi sao: ⭐⭐⭐⭐⭐</t>
        </is>
      </c>
      <c r="L5" s="3" t="inlineStr">
        <is>
          <t>4</t>
        </is>
      </c>
      <c r="M5" s="3" t="inlineStr">
        <is>
          <t>5</t>
        </is>
      </c>
      <c r="N5" s="3" t="inlineStr">
        <is>
          <t>6</t>
        </is>
      </c>
      <c r="O5" s="3" t="n"/>
      <c r="P5" s="3" t="n"/>
      <c r="Q5" s="3" t="inlineStr">
        <is>
          <t>B</t>
        </is>
      </c>
      <c r="R5" s="3" t="inlineStr">
        <is>
          <t>Đếm lần lượt 1, 2, 3, 4, 5: có 5 ngôi sao.</t>
        </is>
      </c>
      <c r="S5" s="3" t="n"/>
      <c r="T5" s="22" t="n">
        <v>30</v>
      </c>
      <c r="U5" s="22">
        <f>INDEX(Khung_cap_do!$H$2:$H$6,F5)</f>
        <v/>
      </c>
      <c r="V5" s="22" t="n">
        <v>2</v>
      </c>
      <c r="W5" s="22" t="n">
        <v>2</v>
      </c>
      <c r="X5" s="3" t="inlineStr">
        <is>
          <t>T1.SO.01</t>
        </is>
      </c>
      <c r="Y5" s="3" t="inlineStr">
        <is>
          <t>TOAN.DEM</t>
        </is>
      </c>
      <c r="Z5" s="3" t="inlineStr">
        <is>
          <t>Soạn thêm</t>
        </is>
      </c>
      <c r="AA5" s="3" t="inlineStr"/>
      <c r="AB5" s="3" t="inlineStr">
        <is>
          <t>Đã học đếm và nhận biết số đến 5.</t>
        </is>
      </c>
      <c r="AC5" s="3" t="inlineStr">
        <is>
          <t>Chương trình GDPT 2018 – Toán 1; đối chiếu SGK Kết nối tri thức.</t>
        </is>
      </c>
      <c r="AD5" s="3" t="inlineStr">
        <is>
          <t>EduChain Kids soạn thêm (2026-10); bám chương trình GDPT 2018 và trình tự SGK đã chọn</t>
        </is>
      </c>
      <c r="AE5" s="3" t="inlineStr">
        <is>
          <t>Bản soạn mới — cần rà soát</t>
        </is>
      </c>
      <c r="AF5" s="3" t="inlineStr">
        <is>
          <t>Chờ giáo viên duyệt</t>
        </is>
      </c>
      <c r="AG5" s="3" t="n"/>
    </row>
    <row r="6">
      <c r="A6" s="3" t="inlineStr">
        <is>
          <t>EC1-047</t>
        </is>
      </c>
      <c r="B6" s="3" t="inlineStr">
        <is>
          <t>Toán</t>
        </is>
      </c>
      <c r="C6" s="22" t="n">
        <v>1</v>
      </c>
      <c r="D6" s="3" t="inlineStr">
        <is>
          <t>Sau khi học so sánh số</t>
        </is>
      </c>
      <c r="E6" s="3" t="inlineStr">
        <is>
          <t>So sánh số</t>
        </is>
      </c>
      <c r="F6" s="23" t="n">
        <v>1</v>
      </c>
      <c r="G6" s="3" t="inlineStr">
        <is>
          <t>Làm quen</t>
        </is>
      </c>
      <c r="H6" s="22" t="n"/>
      <c r="I6" s="3" t="n"/>
      <c r="J6" s="3" t="inlineStr">
        <is>
          <t>Đúng / Sai</t>
        </is>
      </c>
      <c r="K6" s="3" t="inlineStr">
        <is>
          <t>Số 7 lớn hơn số 5.</t>
        </is>
      </c>
      <c r="L6" s="3" t="inlineStr">
        <is>
          <t>Đúng</t>
        </is>
      </c>
      <c r="M6" s="3" t="inlineStr">
        <is>
          <t>Sai</t>
        </is>
      </c>
      <c r="N6" s="3" t="n"/>
      <c r="O6" s="3" t="n"/>
      <c r="P6" s="3" t="n"/>
      <c r="Q6" s="3" t="inlineStr">
        <is>
          <t>A</t>
        </is>
      </c>
      <c r="R6" s="3" t="inlineStr">
        <is>
          <t>Đếm 5, 6, 7: số 7 đứng sau số 5 nên 7 lớn hơn 5.</t>
        </is>
      </c>
      <c r="S6" s="3" t="n"/>
      <c r="T6" s="22" t="n">
        <v>30</v>
      </c>
      <c r="U6" s="22">
        <f>INDEX(Khung_cap_do!$H$2:$H$6,F6)</f>
        <v/>
      </c>
      <c r="V6" s="22" t="n">
        <v>3</v>
      </c>
      <c r="W6" s="22" t="n">
        <v>1</v>
      </c>
      <c r="X6" s="3" t="inlineStr">
        <is>
          <t>T1.SO.02</t>
        </is>
      </c>
      <c r="Y6" s="3" t="inlineStr">
        <is>
          <t>TOAN.DUNGSAI</t>
        </is>
      </c>
      <c r="Z6" s="3" t="inlineStr">
        <is>
          <t>Soạn thêm</t>
        </is>
      </c>
      <c r="AA6" s="3" t="inlineStr"/>
      <c r="AB6" s="3" t="inlineStr">
        <is>
          <t>Đã học so sánh các số trong phạm vi 10.</t>
        </is>
      </c>
      <c r="AC6" s="3" t="inlineStr">
        <is>
          <t>Chương trình GDPT 2018 – Toán 1; đối chiếu SGK Kết nối tri thức.</t>
        </is>
      </c>
      <c r="AD6" s="3" t="inlineStr">
        <is>
          <t>EduChain Kids soạn thêm (2026-10); bám chương trình GDPT 2018 và trình tự SGK đã chọn</t>
        </is>
      </c>
      <c r="AE6" s="3" t="inlineStr">
        <is>
          <t>Bản soạn mới — cần rà soát</t>
        </is>
      </c>
      <c r="AF6" s="3" t="inlineStr">
        <is>
          <t>Chờ giáo viên duyệt</t>
        </is>
      </c>
      <c r="AG6" s="3" t="n"/>
    </row>
    <row r="7">
      <c r="A7" s="3" t="inlineStr">
        <is>
          <t>EC1-048</t>
        </is>
      </c>
      <c r="B7" s="3" t="inlineStr">
        <is>
          <t>Toán</t>
        </is>
      </c>
      <c r="C7" s="22" t="n">
        <v>1</v>
      </c>
      <c r="D7" s="3" t="inlineStr">
        <is>
          <t>Sau khi học hình phẳng</t>
        </is>
      </c>
      <c r="E7" s="3" t="inlineStr">
        <is>
          <t>Hình dạng</t>
        </is>
      </c>
      <c r="F7" s="23" t="n">
        <v>1</v>
      </c>
      <c r="G7" s="3" t="inlineStr">
        <is>
          <t>Làm quen</t>
        </is>
      </c>
      <c r="H7" s="22" t="n"/>
      <c r="I7" s="3" t="n"/>
      <c r="J7" s="3" t="inlineStr">
        <is>
          <t>Chọn đáp án</t>
        </is>
      </c>
      <c r="K7" s="3" t="inlineStr">
        <is>
          <t>Hình nào có 3 cạnh?</t>
        </is>
      </c>
      <c r="L7" s="3" t="inlineStr">
        <is>
          <t>Hình tam giác</t>
        </is>
      </c>
      <c r="M7" s="3" t="inlineStr">
        <is>
          <t>Hình vuông</t>
        </is>
      </c>
      <c r="N7" s="3" t="inlineStr">
        <is>
          <t>Hình tròn</t>
        </is>
      </c>
      <c r="O7" s="3" t="n"/>
      <c r="P7" s="3" t="n"/>
      <c r="Q7" s="3" t="inlineStr">
        <is>
          <t>A</t>
        </is>
      </c>
      <c r="R7" s="3" t="inlineStr">
        <is>
          <t>Hình tam giác có 3 cạnh.</t>
        </is>
      </c>
      <c r="S7" s="3" t="n"/>
      <c r="T7" s="22" t="n">
        <v>30</v>
      </c>
      <c r="U7" s="22">
        <f>INDEX(Khung_cap_do!$H$2:$H$6,F7)</f>
        <v/>
      </c>
      <c r="V7" s="22" t="n">
        <v>3</v>
      </c>
      <c r="W7" s="22" t="n">
        <v>2</v>
      </c>
      <c r="X7" s="3" t="inlineStr">
        <is>
          <t>T1.HH.02</t>
        </is>
      </c>
      <c r="Y7" s="3" t="inlineStr">
        <is>
          <t>TOAN.HINH</t>
        </is>
      </c>
      <c r="Z7" s="3" t="inlineStr">
        <is>
          <t>Soạn thêm</t>
        </is>
      </c>
      <c r="AA7" s="3" t="inlineStr"/>
      <c r="AB7" s="3" t="inlineStr">
        <is>
          <t>Đã học hình vuông, hình tròn, hình tam giác.</t>
        </is>
      </c>
      <c r="AC7" s="3" t="inlineStr">
        <is>
          <t>Chương trình GDPT 2018 – Toán 1; đối chiếu SGK Kết nối tri thức.</t>
        </is>
      </c>
      <c r="AD7" s="3" t="inlineStr">
        <is>
          <t>EduChain Kids soạn thêm (2026-10); bám chương trình GDPT 2018 và trình tự SGK đã chọn</t>
        </is>
      </c>
      <c r="AE7" s="3" t="inlineStr">
        <is>
          <t>Bản soạn mới — cần rà soát</t>
        </is>
      </c>
      <c r="AF7" s="3" t="inlineStr">
        <is>
          <t>Chờ giáo viên duyệt</t>
        </is>
      </c>
      <c r="AG7" s="3" t="n"/>
    </row>
    <row r="8">
      <c r="A8" s="3" t="inlineStr">
        <is>
          <t>EC1-049</t>
        </is>
      </c>
      <c r="B8" s="3" t="inlineStr">
        <is>
          <t>Toán</t>
        </is>
      </c>
      <c r="C8" s="22" t="n">
        <v>1</v>
      </c>
      <c r="D8" s="3" t="inlineStr">
        <is>
          <t>Sau khi học các số 0–10</t>
        </is>
      </c>
      <c r="E8" s="3" t="inlineStr">
        <is>
          <t>Thứ tự số</t>
        </is>
      </c>
      <c r="F8" s="23" t="n">
        <v>1</v>
      </c>
      <c r="G8" s="3" t="inlineStr">
        <is>
          <t>Làm quen</t>
        </is>
      </c>
      <c r="H8" s="22" t="n"/>
      <c r="I8" s="3" t="n"/>
      <c r="J8" s="3" t="inlineStr">
        <is>
          <t>Điền đáp án</t>
        </is>
      </c>
      <c r="K8" s="3" t="inlineStr">
        <is>
          <t>Đếm tiếp: 4, 5, 6, ... Số tiếp theo là số mấy?</t>
        </is>
      </c>
      <c r="L8" s="3" t="n"/>
      <c r="M8" s="3" t="n"/>
      <c r="N8" s="3" t="n"/>
      <c r="O8" s="3" t="n"/>
      <c r="P8" s="3" t="n"/>
      <c r="Q8" s="3" t="inlineStr">
        <is>
          <t>7 / bảy</t>
        </is>
      </c>
      <c r="R8" s="3" t="inlineStr">
        <is>
          <t>Đếm tiếp sau 6 là 7.</t>
        </is>
      </c>
      <c r="S8" s="3" t="n"/>
      <c r="T8" s="22" t="n">
        <v>40</v>
      </c>
      <c r="U8" s="22">
        <f>INDEX(Khung_cap_do!$H$2:$H$6,F8)</f>
        <v/>
      </c>
      <c r="V8" s="22" t="n">
        <v>4</v>
      </c>
      <c r="W8" s="22" t="n">
        <v>1</v>
      </c>
      <c r="X8" s="3" t="inlineStr">
        <is>
          <t>T1.SO.01</t>
        </is>
      </c>
      <c r="Y8" s="3" t="inlineStr">
        <is>
          <t>TOAN.SOTHIEU</t>
        </is>
      </c>
      <c r="Z8" s="3" t="inlineStr">
        <is>
          <t>Soạn thêm</t>
        </is>
      </c>
      <c r="AA8" s="3" t="inlineStr"/>
      <c r="AB8" s="3" t="inlineStr">
        <is>
          <t>Đã học đếm đến 10.</t>
        </is>
      </c>
      <c r="AC8" s="3" t="inlineStr">
        <is>
          <t>Chương trình GDPT 2018 – Toán 1; đối chiếu SGK Kết nối tri thức.</t>
        </is>
      </c>
      <c r="AD8" s="3" t="inlineStr">
        <is>
          <t>EduChain Kids soạn thêm (2026-10); bám chương trình GDPT 2018 và trình tự SGK đã chọn</t>
        </is>
      </c>
      <c r="AE8" s="3" t="inlineStr">
        <is>
          <t>Bản soạn mới — cần rà soát</t>
        </is>
      </c>
      <c r="AF8" s="3" t="inlineStr">
        <is>
          <t>Chờ giáo viên duyệt</t>
        </is>
      </c>
      <c r="AG8" s="3" t="n"/>
    </row>
    <row r="9">
      <c r="A9" s="3" t="inlineStr">
        <is>
          <t>EC1-050</t>
        </is>
      </c>
      <c r="B9" s="3" t="inlineStr">
        <is>
          <t>Toán</t>
        </is>
      </c>
      <c r="C9" s="22" t="n">
        <v>1</v>
      </c>
      <c r="D9" s="3" t="inlineStr">
        <is>
          <t>Sau khi học số 0</t>
        </is>
      </c>
      <c r="E9" s="3" t="inlineStr">
        <is>
          <t>Số 0</t>
        </is>
      </c>
      <c r="F9" s="23" t="n">
        <v>1</v>
      </c>
      <c r="G9" s="3" t="inlineStr">
        <is>
          <t>Làm quen</t>
        </is>
      </c>
      <c r="H9" s="22" t="n"/>
      <c r="I9" s="3" t="n"/>
      <c r="J9" s="3" t="inlineStr">
        <is>
          <t>Chọn đáp án</t>
        </is>
      </c>
      <c r="K9" s="3" t="inlineStr">
        <is>
          <t>Trong đĩa không có quả nào. Số quả trong đĩa là số mấy?</t>
        </is>
      </c>
      <c r="L9" s="3" t="inlineStr">
        <is>
          <t>0</t>
        </is>
      </c>
      <c r="M9" s="3" t="inlineStr">
        <is>
          <t>1</t>
        </is>
      </c>
      <c r="N9" s="3" t="inlineStr">
        <is>
          <t>2</t>
        </is>
      </c>
      <c r="O9" s="3" t="n"/>
      <c r="P9" s="3" t="n"/>
      <c r="Q9" s="3" t="inlineStr">
        <is>
          <t>A</t>
        </is>
      </c>
      <c r="R9" s="3" t="inlineStr">
        <is>
          <t>Không có quả nào thì viết số 0.</t>
        </is>
      </c>
      <c r="S9" s="3" t="n"/>
      <c r="T9" s="22" t="n">
        <v>30</v>
      </c>
      <c r="U9" s="22">
        <f>INDEX(Khung_cap_do!$H$2:$H$6,F9)</f>
        <v/>
      </c>
      <c r="V9" s="22" t="n">
        <v>4</v>
      </c>
      <c r="W9" s="22" t="n">
        <v>2</v>
      </c>
      <c r="X9" s="3" t="inlineStr">
        <is>
          <t>T1.SO.01</t>
        </is>
      </c>
      <c r="Y9" s="3" t="inlineStr">
        <is>
          <t>TOAN.DEM</t>
        </is>
      </c>
      <c r="Z9" s="3" t="inlineStr">
        <is>
          <t>Soạn thêm</t>
        </is>
      </c>
      <c r="AA9" s="3" t="inlineStr"/>
      <c r="AB9" s="3" t="inlineStr">
        <is>
          <t>Đã học số 0.</t>
        </is>
      </c>
      <c r="AC9" s="3" t="inlineStr">
        <is>
          <t>Chương trình GDPT 2018 – Toán 1; đối chiếu SGK Kết nối tri thức.</t>
        </is>
      </c>
      <c r="AD9" s="3" t="inlineStr">
        <is>
          <t>EduChain Kids soạn thêm (2026-10); bám chương trình GDPT 2018 và trình tự SGK đã chọn</t>
        </is>
      </c>
      <c r="AE9" s="3" t="inlineStr">
        <is>
          <t>Bản soạn mới — cần rà soát</t>
        </is>
      </c>
      <c r="AF9" s="3" t="inlineStr">
        <is>
          <t>Chờ giáo viên duyệt</t>
        </is>
      </c>
      <c r="AG9" s="3" t="n"/>
    </row>
    <row r="10">
      <c r="A10" s="3" t="inlineStr">
        <is>
          <t>EC1-004</t>
        </is>
      </c>
      <c r="B10" s="3" t="inlineStr">
        <is>
          <t>Toán</t>
        </is>
      </c>
      <c r="C10" s="22" t="n">
        <v>1</v>
      </c>
      <c r="D10" s="3" t="inlineStr">
        <is>
          <t>Sau khi học phép cộng phù hợp</t>
        </is>
      </c>
      <c r="E10" s="3" t="inlineStr">
        <is>
          <t>Phép cộng</t>
        </is>
      </c>
      <c r="F10" s="23" t="n">
        <v>2</v>
      </c>
      <c r="G10" s="3" t="inlineStr">
        <is>
          <t>Cơ bản</t>
        </is>
      </c>
      <c r="H10" s="22" t="n"/>
      <c r="I10" s="3" t="n"/>
      <c r="J10" s="3" t="inlineStr">
        <is>
          <t>Điền đáp án</t>
        </is>
      </c>
      <c r="K10" s="3" t="inlineStr">
        <is>
          <t>2 + 1 = ?</t>
        </is>
      </c>
      <c r="L10" s="3" t="n"/>
      <c r="M10" s="3" t="n"/>
      <c r="N10" s="3" t="n"/>
      <c r="O10" s="3" t="n"/>
      <c r="P10" s="3" t="n"/>
      <c r="Q10" s="3" t="inlineStr">
        <is>
          <t>3</t>
        </is>
      </c>
      <c r="R10" s="3" t="inlineStr">
        <is>
          <t>Có 2 đồ vật, thêm 1 thì có 3.</t>
        </is>
      </c>
      <c r="S10" s="3" t="n"/>
      <c r="T10" s="22" t="n">
        <v>50</v>
      </c>
      <c r="U10" s="22">
        <f>INDEX(Khung_cap_do!$H$2:$H$6,F10)</f>
        <v/>
      </c>
      <c r="V10" s="22" t="n">
        <v>1</v>
      </c>
      <c r="W10" s="22" t="n">
        <v>3</v>
      </c>
      <c r="X10" s="3" t="inlineStr">
        <is>
          <t>T1.PT.02</t>
        </is>
      </c>
      <c r="Y10" s="3" t="inlineStr">
        <is>
          <t>TOAN.TINH</t>
        </is>
      </c>
      <c r="Z10" s="3" t="inlineStr">
        <is>
          <t>Bộ mẫu</t>
        </is>
      </c>
      <c r="AA10" s="3" t="inlineStr"/>
      <c r="AB10" s="3" t="inlineStr">
        <is>
          <t>Đã học phép cộng với các số này.</t>
        </is>
      </c>
      <c r="AC10" s="3" t="inlineStr">
        <is>
          <t>Chỉ dùng khi phép tính đã được dạy.</t>
        </is>
      </c>
      <c r="AD10" s="3" t="inlineStr">
        <is>
          <t>Chương trình GDPT 2018 / kế hoạch dạy học của trường; đối chiếu văn bản hiện hành</t>
        </is>
      </c>
      <c r="AE10" s="3" t="inlineStr">
        <is>
          <t>Bản mẫu — cần rà soát</t>
        </is>
      </c>
      <c r="AF10" s="3" t="inlineStr">
        <is>
          <t>Chờ giáo viên duyệt</t>
        </is>
      </c>
      <c r="AG10" s="3" t="n"/>
    </row>
    <row r="11">
      <c r="A11" s="3" t="inlineStr">
        <is>
          <t>EC1-005</t>
        </is>
      </c>
      <c r="B11" s="3" t="inlineStr">
        <is>
          <t>Toán</t>
        </is>
      </c>
      <c r="C11" s="22" t="n">
        <v>1</v>
      </c>
      <c r="D11" s="3" t="inlineStr">
        <is>
          <t>Sau khi học so sánh</t>
        </is>
      </c>
      <c r="E11" s="3" t="inlineStr">
        <is>
          <t>So sánh số lượng</t>
        </is>
      </c>
      <c r="F11" s="23" t="n">
        <v>2</v>
      </c>
      <c r="G11" s="3" t="inlineStr">
        <is>
          <t>Cơ bản</t>
        </is>
      </c>
      <c r="H11" s="22" t="n"/>
      <c r="I11" s="3" t="n"/>
      <c r="J11" s="3" t="inlineStr">
        <is>
          <t>Chọn đáp án</t>
        </is>
      </c>
      <c r="K11" s="3" t="inlineStr">
        <is>
          <t>Nhóm 5 con cá và nhóm 3 con cá. Nhóm nào nhiều hơn?</t>
        </is>
      </c>
      <c r="L11" s="3" t="inlineStr">
        <is>
          <t>Nhóm 5 con</t>
        </is>
      </c>
      <c r="M11" s="3" t="inlineStr">
        <is>
          <t>Nhóm 3 con</t>
        </is>
      </c>
      <c r="N11" s="3" t="inlineStr">
        <is>
          <t>Bằng nhau</t>
        </is>
      </c>
      <c r="O11" s="3" t="n"/>
      <c r="P11" s="3" t="n"/>
      <c r="Q11" s="3" t="inlineStr">
        <is>
          <t>A</t>
        </is>
      </c>
      <c r="R11" s="3" t="inlineStr">
        <is>
          <t>5 nhiều hơn 3.</t>
        </is>
      </c>
      <c r="S11" s="3" t="n"/>
      <c r="T11" s="22" t="n">
        <v>40</v>
      </c>
      <c r="U11" s="22">
        <f>INDEX(Khung_cap_do!$H$2:$H$6,F11)</f>
        <v/>
      </c>
      <c r="V11" s="22" t="n">
        <v>1</v>
      </c>
      <c r="W11" s="22" t="n">
        <v>4</v>
      </c>
      <c r="X11" s="3" t="inlineStr">
        <is>
          <t>T1.SO.02</t>
        </is>
      </c>
      <c r="Y11" s="3" t="inlineStr">
        <is>
          <t>TOAN.SOSANH</t>
        </is>
      </c>
      <c r="Z11" s="3" t="inlineStr">
        <is>
          <t>Bộ mẫu</t>
        </is>
      </c>
      <c r="AA11" s="3" t="inlineStr"/>
      <c r="AB11" s="3" t="inlineStr">
        <is>
          <t>Đã học đếm và so sánh trong phạm vi tương ứng.</t>
        </is>
      </c>
      <c r="AC11" s="3" t="inlineStr">
        <is>
          <t>Tình huống quen thuộc, không cần kiến thức mới.</t>
        </is>
      </c>
      <c r="AD11" s="3" t="inlineStr">
        <is>
          <t>Chương trình GDPT 2018 / kế hoạch dạy học của trường; đối chiếu văn bản hiện hành</t>
        </is>
      </c>
      <c r="AE11" s="3" t="inlineStr">
        <is>
          <t>Bản mẫu — cần rà soát</t>
        </is>
      </c>
      <c r="AF11" s="3" t="inlineStr">
        <is>
          <t>Chờ giáo viên duyệt</t>
        </is>
      </c>
      <c r="AG11" s="3" t="n"/>
    </row>
    <row r="12">
      <c r="A12" s="3" t="inlineStr">
        <is>
          <t>EC1-006</t>
        </is>
      </c>
      <c r="B12" s="3" t="inlineStr">
        <is>
          <t>Toán</t>
        </is>
      </c>
      <c r="C12" s="22" t="n">
        <v>1</v>
      </c>
      <c r="D12" s="3" t="inlineStr">
        <is>
          <t>Sau khi học phép trừ phù hợp</t>
        </is>
      </c>
      <c r="E12" s="3" t="inlineStr">
        <is>
          <t>Phép trừ</t>
        </is>
      </c>
      <c r="F12" s="23" t="n">
        <v>2</v>
      </c>
      <c r="G12" s="3" t="inlineStr">
        <is>
          <t>Cơ bản</t>
        </is>
      </c>
      <c r="H12" s="22" t="n"/>
      <c r="I12" s="3" t="n"/>
      <c r="J12" s="3" t="inlineStr">
        <is>
          <t>Điền đáp án</t>
        </is>
      </c>
      <c r="K12" s="3" t="inlineStr">
        <is>
          <t>4 − 1 = ?</t>
        </is>
      </c>
      <c r="L12" s="3" t="n"/>
      <c r="M12" s="3" t="n"/>
      <c r="N12" s="3" t="n"/>
      <c r="O12" s="3" t="n"/>
      <c r="P12" s="3" t="n"/>
      <c r="Q12" s="3" t="inlineStr">
        <is>
          <t>3</t>
        </is>
      </c>
      <c r="R12" s="3" t="inlineStr">
        <is>
          <t>Bớt 1 từ 4 còn 3.</t>
        </is>
      </c>
      <c r="S12" s="3" t="n"/>
      <c r="T12" s="22" t="n">
        <v>50</v>
      </c>
      <c r="U12" s="22">
        <f>INDEX(Khung_cap_do!$H$2:$H$6,F12)</f>
        <v/>
      </c>
      <c r="V12" s="22" t="n">
        <v>2</v>
      </c>
      <c r="W12" s="22" t="n">
        <v>3</v>
      </c>
      <c r="X12" s="3" t="inlineStr">
        <is>
          <t>T1.PT.02</t>
        </is>
      </c>
      <c r="Y12" s="3" t="inlineStr">
        <is>
          <t>TOAN.TINH</t>
        </is>
      </c>
      <c r="Z12" s="3" t="inlineStr">
        <is>
          <t>Bộ mẫu</t>
        </is>
      </c>
      <c r="AA12" s="3" t="inlineStr"/>
      <c r="AB12" s="3" t="inlineStr">
        <is>
          <t>Đã học phép trừ với các số này.</t>
        </is>
      </c>
      <c r="AC12" s="3" t="inlineStr">
        <is>
          <t>Điều chỉnh phạm vi số theo tiến trình.</t>
        </is>
      </c>
      <c r="AD12" s="3" t="inlineStr">
        <is>
          <t>Chương trình GDPT 2018 / kế hoạch dạy học của trường; đối chiếu văn bản hiện hành</t>
        </is>
      </c>
      <c r="AE12" s="3" t="inlineStr">
        <is>
          <t>Bản mẫu — cần rà soát</t>
        </is>
      </c>
      <c r="AF12" s="3" t="inlineStr">
        <is>
          <t>Chờ giáo viên duyệt</t>
        </is>
      </c>
      <c r="AG12" s="3" t="n"/>
    </row>
    <row r="13">
      <c r="A13" s="3" t="inlineStr">
        <is>
          <t>EC1-051</t>
        </is>
      </c>
      <c r="B13" s="3" t="inlineStr">
        <is>
          <t>Toán</t>
        </is>
      </c>
      <c r="C13" s="22" t="n">
        <v>1</v>
      </c>
      <c r="D13" s="3" t="inlineStr">
        <is>
          <t>Sau khi học phép cộng trong phạm vi 10</t>
        </is>
      </c>
      <c r="E13" s="3" t="inlineStr">
        <is>
          <t>Phép cộng</t>
        </is>
      </c>
      <c r="F13" s="23" t="n">
        <v>2</v>
      </c>
      <c r="G13" s="3" t="inlineStr">
        <is>
          <t>Cơ bản</t>
        </is>
      </c>
      <c r="H13" s="22" t="n"/>
      <c r="I13" s="3" t="n"/>
      <c r="J13" s="3" t="inlineStr">
        <is>
          <t>Điền đáp án</t>
        </is>
      </c>
      <c r="K13" s="3" t="inlineStr">
        <is>
          <t>3 + 4 = ?</t>
        </is>
      </c>
      <c r="L13" s="3" t="n"/>
      <c r="M13" s="3" t="n"/>
      <c r="N13" s="3" t="n"/>
      <c r="O13" s="3" t="n"/>
      <c r="P13" s="3" t="n"/>
      <c r="Q13" s="3" t="inlineStr">
        <is>
          <t>7 / bảy</t>
        </is>
      </c>
      <c r="R13" s="3" t="inlineStr">
        <is>
          <t>3 thêm 4 là 7.</t>
        </is>
      </c>
      <c r="S13" s="3" t="n"/>
      <c r="T13" s="22" t="n">
        <v>50</v>
      </c>
      <c r="U13" s="22">
        <f>INDEX(Khung_cap_do!$H$2:$H$6,F13)</f>
        <v/>
      </c>
      <c r="V13" s="22" t="n">
        <v>2</v>
      </c>
      <c r="W13" s="22" t="n">
        <v>4</v>
      </c>
      <c r="X13" s="3" t="inlineStr">
        <is>
          <t>T1.PT.02</t>
        </is>
      </c>
      <c r="Y13" s="3" t="inlineStr">
        <is>
          <t>TOAN.TINH</t>
        </is>
      </c>
      <c r="Z13" s="3" t="inlineStr">
        <is>
          <t>Soạn thêm</t>
        </is>
      </c>
      <c r="AA13" s="3" t="inlineStr"/>
      <c r="AB13" s="3" t="inlineStr">
        <is>
          <t>Đã học cộng trong phạm vi 10.</t>
        </is>
      </c>
      <c r="AC13" s="3" t="inlineStr">
        <is>
          <t>Chương trình GDPT 2018 – Toán 1; đối chiếu SGK Kết nối tri thức.</t>
        </is>
      </c>
      <c r="AD13" s="3" t="inlineStr">
        <is>
          <t>EduChain Kids soạn thêm (2026-10); bám chương trình GDPT 2018 và trình tự SGK đã chọn</t>
        </is>
      </c>
      <c r="AE13" s="3" t="inlineStr">
        <is>
          <t>Bản soạn mới — cần rà soát</t>
        </is>
      </c>
      <c r="AF13" s="3" t="inlineStr">
        <is>
          <t>Chờ giáo viên duyệt</t>
        </is>
      </c>
      <c r="AG13" s="3" t="n"/>
    </row>
    <row r="14">
      <c r="A14" s="3" t="inlineStr">
        <is>
          <t>EC1-052</t>
        </is>
      </c>
      <c r="B14" s="3" t="inlineStr">
        <is>
          <t>Toán</t>
        </is>
      </c>
      <c r="C14" s="22" t="n">
        <v>1</v>
      </c>
      <c r="D14" s="3" t="inlineStr">
        <is>
          <t>Sau khi học phép trừ trong phạm vi 10</t>
        </is>
      </c>
      <c r="E14" s="3" t="inlineStr">
        <is>
          <t>Phép trừ</t>
        </is>
      </c>
      <c r="F14" s="23" t="n">
        <v>2</v>
      </c>
      <c r="G14" s="3" t="inlineStr">
        <is>
          <t>Cơ bản</t>
        </is>
      </c>
      <c r="H14" s="22" t="n"/>
      <c r="I14" s="3" t="n"/>
      <c r="J14" s="3" t="inlineStr">
        <is>
          <t>Điền đáp án</t>
        </is>
      </c>
      <c r="K14" s="3" t="inlineStr">
        <is>
          <t>9 − 5 = ?</t>
        </is>
      </c>
      <c r="L14" s="3" t="n"/>
      <c r="M14" s="3" t="n"/>
      <c r="N14" s="3" t="n"/>
      <c r="O14" s="3" t="n"/>
      <c r="P14" s="3" t="n"/>
      <c r="Q14" s="3" t="inlineStr">
        <is>
          <t>4 / bốn</t>
        </is>
      </c>
      <c r="R14" s="3" t="inlineStr">
        <is>
          <t>9 bớt 5 còn 4.</t>
        </is>
      </c>
      <c r="S14" s="3" t="n"/>
      <c r="T14" s="22" t="n">
        <v>50</v>
      </c>
      <c r="U14" s="22">
        <f>INDEX(Khung_cap_do!$H$2:$H$6,F14)</f>
        <v/>
      </c>
      <c r="V14" s="22" t="n">
        <v>3</v>
      </c>
      <c r="W14" s="22" t="n">
        <v>3</v>
      </c>
      <c r="X14" s="3" t="inlineStr">
        <is>
          <t>T1.PT.02</t>
        </is>
      </c>
      <c r="Y14" s="3" t="inlineStr">
        <is>
          <t>TOAN.TINH</t>
        </is>
      </c>
      <c r="Z14" s="3" t="inlineStr">
        <is>
          <t>Soạn thêm</t>
        </is>
      </c>
      <c r="AA14" s="3" t="inlineStr"/>
      <c r="AB14" s="3" t="inlineStr">
        <is>
          <t>Đã học trừ trong phạm vi 10.</t>
        </is>
      </c>
      <c r="AC14" s="3" t="inlineStr">
        <is>
          <t>Chương trình GDPT 2018 – Toán 1; đối chiếu SGK Kết nối tri thức.</t>
        </is>
      </c>
      <c r="AD14" s="3" t="inlineStr">
        <is>
          <t>EduChain Kids soạn thêm (2026-10); bám chương trình GDPT 2018 và trình tự SGK đã chọn</t>
        </is>
      </c>
      <c r="AE14" s="3" t="inlineStr">
        <is>
          <t>Bản soạn mới — cần rà soát</t>
        </is>
      </c>
      <c r="AF14" s="3" t="inlineStr">
        <is>
          <t>Chờ giáo viên duyệt</t>
        </is>
      </c>
      <c r="AG14" s="3" t="n"/>
    </row>
    <row r="15">
      <c r="A15" s="3" t="inlineStr">
        <is>
          <t>EC1-053</t>
        </is>
      </c>
      <c r="B15" s="3" t="inlineStr">
        <is>
          <t>Toán</t>
        </is>
      </c>
      <c r="C15" s="22" t="n">
        <v>1</v>
      </c>
      <c r="D15" s="3" t="inlineStr">
        <is>
          <t>Sau khi học dấu &gt;, &lt;, =</t>
        </is>
      </c>
      <c r="E15" s="3" t="inlineStr">
        <is>
          <t>So sánh số</t>
        </is>
      </c>
      <c r="F15" s="23" t="n">
        <v>2</v>
      </c>
      <c r="G15" s="3" t="inlineStr">
        <is>
          <t>Cơ bản</t>
        </is>
      </c>
      <c r="H15" s="22" t="n"/>
      <c r="I15" s="3" t="n"/>
      <c r="J15" s="3" t="inlineStr">
        <is>
          <t>Chọn đáp án</t>
        </is>
      </c>
      <c r="K15" s="3" t="inlineStr">
        <is>
          <t>Chọn dấu đúng: 6 ... 8</t>
        </is>
      </c>
      <c r="L15" s="3" t="inlineStr">
        <is>
          <t>&gt;</t>
        </is>
      </c>
      <c r="M15" s="3" t="inlineStr">
        <is>
          <t>&lt;</t>
        </is>
      </c>
      <c r="N15" s="3" t="inlineStr">
        <is>
          <t>=</t>
        </is>
      </c>
      <c r="O15" s="3" t="n"/>
      <c r="P15" s="3" t="n"/>
      <c r="Q15" s="3" t="inlineStr">
        <is>
          <t>B</t>
        </is>
      </c>
      <c r="R15" s="3" t="inlineStr">
        <is>
          <t>6 bé hơn 8 nên điền dấu &lt;.</t>
        </is>
      </c>
      <c r="S15" s="3" t="n"/>
      <c r="T15" s="22" t="n">
        <v>40</v>
      </c>
      <c r="U15" s="22">
        <f>INDEX(Khung_cap_do!$H$2:$H$6,F15)</f>
        <v/>
      </c>
      <c r="V15" s="22" t="n">
        <v>3</v>
      </c>
      <c r="W15" s="22" t="n">
        <v>4</v>
      </c>
      <c r="X15" s="3" t="inlineStr">
        <is>
          <t>T1.SO.02</t>
        </is>
      </c>
      <c r="Y15" s="3" t="inlineStr">
        <is>
          <t>TOAN.SOSANH</t>
        </is>
      </c>
      <c r="Z15" s="3" t="inlineStr">
        <is>
          <t>Soạn thêm</t>
        </is>
      </c>
      <c r="AA15" s="3" t="inlineStr"/>
      <c r="AB15" s="3" t="inlineStr">
        <is>
          <t>Đã học các dấu &gt;, &lt;, =.</t>
        </is>
      </c>
      <c r="AC15" s="3" t="inlineStr">
        <is>
          <t>Chương trình GDPT 2018 – Toán 1; đối chiếu SGK Kết nối tri thức.</t>
        </is>
      </c>
      <c r="AD15" s="3" t="inlineStr">
        <is>
          <t>EduChain Kids soạn thêm (2026-10); bám chương trình GDPT 2018 và trình tự SGK đã chọn</t>
        </is>
      </c>
      <c r="AE15" s="3" t="inlineStr">
        <is>
          <t>Bản soạn mới — cần rà soát</t>
        </is>
      </c>
      <c r="AF15" s="3" t="inlineStr">
        <is>
          <t>Chờ giáo viên duyệt</t>
        </is>
      </c>
      <c r="AG15" s="3" t="n"/>
    </row>
    <row r="16">
      <c r="A16" s="3" t="inlineStr">
        <is>
          <t>EC1-054</t>
        </is>
      </c>
      <c r="B16" s="3" t="inlineStr">
        <is>
          <t>Toán</t>
        </is>
      </c>
      <c r="C16" s="22" t="n">
        <v>1</v>
      </c>
      <c r="D16" s="3" t="inlineStr">
        <is>
          <t>Sau khi học so sánh, xếp thứ tự số</t>
        </is>
      </c>
      <c r="E16" s="3" t="inlineStr">
        <is>
          <t>Xếp thứ tự số</t>
        </is>
      </c>
      <c r="F16" s="23" t="n">
        <v>2</v>
      </c>
      <c r="G16" s="3" t="inlineStr">
        <is>
          <t>Cơ bản</t>
        </is>
      </c>
      <c r="H16" s="22" t="n"/>
      <c r="I16" s="3" t="n"/>
      <c r="J16" s="3" t="inlineStr">
        <is>
          <t>Sắp xếp</t>
        </is>
      </c>
      <c r="K16" s="3" t="inlineStr">
        <is>
          <t>Xếp các số theo thứ tự từ bé đến lớn.
(Các mục: 2 / 5 / 7 / 9)</t>
        </is>
      </c>
      <c r="L16" s="3" t="n"/>
      <c r="M16" s="3" t="n"/>
      <c r="N16" s="3" t="n"/>
      <c r="O16" s="3" t="n"/>
      <c r="P16" s="3" t="n"/>
      <c r="Q16" s="3" t="inlineStr">
        <is>
          <t>2 → 5 → 7 → 9</t>
        </is>
      </c>
      <c r="R16" s="3" t="inlineStr">
        <is>
          <t>Từ bé đến lớn: 2, 5, 7, 9.</t>
        </is>
      </c>
      <c r="S16" s="3" t="n"/>
      <c r="T16" s="22" t="n">
        <v>55</v>
      </c>
      <c r="U16" s="22">
        <f>INDEX(Khung_cap_do!$H$2:$H$6,F16)</f>
        <v/>
      </c>
      <c r="V16" s="22" t="n">
        <v>4</v>
      </c>
      <c r="W16" s="22" t="n">
        <v>3</v>
      </c>
      <c r="X16" s="3" t="inlineStr">
        <is>
          <t>T1.SO.02</t>
        </is>
      </c>
      <c r="Y16" s="3" t="inlineStr">
        <is>
          <t>TOAN.SAPXEP</t>
        </is>
      </c>
      <c r="Z16" s="3" t="inlineStr">
        <is>
          <t>Soạn thêm</t>
        </is>
      </c>
      <c r="AA16" s="3" t="inlineStr"/>
      <c r="AB16" s="3" t="inlineStr">
        <is>
          <t>Đã học so sánh số trong phạm vi 10.</t>
        </is>
      </c>
      <c r="AC16" s="3" t="inlineStr">
        <is>
          <t>Chương trình GDPT 2018 – Toán 1; đối chiếu SGK Kết nối tri thức.</t>
        </is>
      </c>
      <c r="AD16" s="3" t="inlineStr">
        <is>
          <t>EduChain Kids soạn thêm (2026-10); bám chương trình GDPT 2018 và trình tự SGK đã chọn</t>
        </is>
      </c>
      <c r="AE16" s="3" t="inlineStr">
        <is>
          <t>Bản soạn mới — cần rà soát</t>
        </is>
      </c>
      <c r="AF16" s="3" t="inlineStr">
        <is>
          <t>Chờ giáo viên duyệt</t>
        </is>
      </c>
      <c r="AG16" s="3" t="n"/>
    </row>
    <row r="17">
      <c r="A17" s="3" t="inlineStr">
        <is>
          <t>EC1-055</t>
        </is>
      </c>
      <c r="B17" s="3" t="inlineStr">
        <is>
          <t>Toán</t>
        </is>
      </c>
      <c r="C17" s="22" t="n">
        <v>1</v>
      </c>
      <c r="D17" s="3" t="inlineStr">
        <is>
          <t>Sau khi học cộng, trừ trong phạm vi 10</t>
        </is>
      </c>
      <c r="E17" s="3" t="inlineStr">
        <is>
          <t>Tính nhẩm</t>
        </is>
      </c>
      <c r="F17" s="23" t="n">
        <v>2</v>
      </c>
      <c r="G17" s="3" t="inlineStr">
        <is>
          <t>Cơ bản</t>
        </is>
      </c>
      <c r="H17" s="22" t="n"/>
      <c r="I17" s="3" t="n"/>
      <c r="J17" s="3" t="inlineStr">
        <is>
          <t>Chọn đáp án</t>
        </is>
      </c>
      <c r="K17" s="3" t="inlineStr">
        <is>
          <t>Phép tính nào có kết quả bằng 5?</t>
        </is>
      </c>
      <c r="L17" s="3" t="inlineStr">
        <is>
          <t>2 + 3</t>
        </is>
      </c>
      <c r="M17" s="3" t="inlineStr">
        <is>
          <t>4 + 2</t>
        </is>
      </c>
      <c r="N17" s="3" t="inlineStr">
        <is>
          <t>6 − 2</t>
        </is>
      </c>
      <c r="O17" s="3" t="n"/>
      <c r="P17" s="3" t="n"/>
      <c r="Q17" s="3" t="inlineStr">
        <is>
          <t>A</t>
        </is>
      </c>
      <c r="R17" s="3" t="inlineStr">
        <is>
          <t>2 + 3 = 5; 4 + 2 = 6; 6 − 2 = 4.</t>
        </is>
      </c>
      <c r="S17" s="3" t="n"/>
      <c r="T17" s="22" t="n">
        <v>40</v>
      </c>
      <c r="U17" s="22">
        <f>INDEX(Khung_cap_do!$H$2:$H$6,F17)</f>
        <v/>
      </c>
      <c r="V17" s="22" t="n">
        <v>4</v>
      </c>
      <c r="W17" s="22" t="n">
        <v>4</v>
      </c>
      <c r="X17" s="3" t="inlineStr">
        <is>
          <t>T1.PT.02</t>
        </is>
      </c>
      <c r="Y17" s="3" t="inlineStr">
        <is>
          <t>TOAN.TINH</t>
        </is>
      </c>
      <c r="Z17" s="3" t="inlineStr">
        <is>
          <t>Soạn thêm</t>
        </is>
      </c>
      <c r="AA17" s="3" t="inlineStr"/>
      <c r="AB17" s="3" t="inlineStr">
        <is>
          <t>Đã học cộng, trừ trong phạm vi 10.</t>
        </is>
      </c>
      <c r="AC17" s="3" t="inlineStr">
        <is>
          <t>Chương trình GDPT 2018 – Toán 1; đối chiếu SGK Kết nối tri thức.</t>
        </is>
      </c>
      <c r="AD17" s="3" t="inlineStr">
        <is>
          <t>EduChain Kids soạn thêm (2026-10); bám chương trình GDPT 2018 và trình tự SGK đã chọn</t>
        </is>
      </c>
      <c r="AE17" s="3" t="inlineStr">
        <is>
          <t>Bản soạn mới — cần rà soát</t>
        </is>
      </c>
      <c r="AF17" s="3" t="inlineStr">
        <is>
          <t>Chờ giáo viên duyệt</t>
        </is>
      </c>
      <c r="AG17" s="3" t="n"/>
    </row>
    <row r="18">
      <c r="A18" s="3" t="inlineStr">
        <is>
          <t>EC1-007</t>
        </is>
      </c>
      <c r="B18" s="3" t="inlineStr">
        <is>
          <t>Toán</t>
        </is>
      </c>
      <c r="C18" s="22" t="n">
        <v>1</v>
      </c>
      <c r="D18" s="3" t="inlineStr">
        <is>
          <t>Sau khi học cộng tương ứng</t>
        </is>
      </c>
      <c r="E18" s="3" t="inlineStr">
        <is>
          <t>Toán có lời văn</t>
        </is>
      </c>
      <c r="F18" s="23" t="n">
        <v>3</v>
      </c>
      <c r="G18" s="3" t="inlineStr">
        <is>
          <t>Vận dụng</t>
        </is>
      </c>
      <c r="H18" s="22" t="n"/>
      <c r="I18" s="3" t="n"/>
      <c r="J18" s="3" t="inlineStr">
        <is>
          <t>Điền đáp án</t>
        </is>
      </c>
      <c r="K18" s="3" t="inlineStr">
        <is>
          <t>Mai có 2 bút chì, được tặng thêm 2. Mai có tất cả bao nhiêu bút chì?</t>
        </is>
      </c>
      <c r="L18" s="3" t="n"/>
      <c r="M18" s="3" t="n"/>
      <c r="N18" s="3" t="n"/>
      <c r="O18" s="3" t="n"/>
      <c r="P18" s="3" t="n"/>
      <c r="Q18" s="3" t="inlineStr">
        <is>
          <t>4</t>
        </is>
      </c>
      <c r="R18" s="3" t="inlineStr">
        <is>
          <t>Thêm vào nên tính 2 + 2 = 4.</t>
        </is>
      </c>
      <c r="S18" s="3" t="inlineStr">
        <is>
          <t>Được tặng thêm là gộp lại, ta làm phép cộng: 2 + 2 = 4. Mai có 4 bút chì.</t>
        </is>
      </c>
      <c r="T18" s="22" t="n">
        <v>70</v>
      </c>
      <c r="U18" s="22">
        <f>INDEX(Khung_cap_do!$H$2:$H$6,F18)</f>
        <v/>
      </c>
      <c r="V18" s="22" t="n">
        <v>1</v>
      </c>
      <c r="W18" s="22" t="n">
        <v>5</v>
      </c>
      <c r="X18" s="3" t="inlineStr">
        <is>
          <t>T1.PT.03</t>
        </is>
      </c>
      <c r="Y18" s="3" t="inlineStr">
        <is>
          <t>TOAN.LOIVAN</t>
        </is>
      </c>
      <c r="Z18" s="3" t="inlineStr">
        <is>
          <t>Bộ mẫu</t>
        </is>
      </c>
      <c r="AA18" s="3" t="inlineStr"/>
      <c r="AB18" s="3" t="inlineStr">
        <is>
          <t>Đã học phép cộng 2 + 2 và tình huống thêm vào.</t>
        </is>
      </c>
      <c r="AC18" s="3" t="inlineStr">
        <is>
          <t>Vận dụng kiến thức trong tình huống quen thuộc.</t>
        </is>
      </c>
      <c r="AD18" s="3" t="inlineStr">
        <is>
          <t>Chương trình GDPT 2018 / kế hoạch dạy học của trường; đối chiếu văn bản hiện hành</t>
        </is>
      </c>
      <c r="AE18" s="3" t="inlineStr">
        <is>
          <t>Bản mẫu — cần rà soát</t>
        </is>
      </c>
      <c r="AF18" s="3" t="inlineStr">
        <is>
          <t>Chờ giáo viên duyệt</t>
        </is>
      </c>
      <c r="AG18" s="3" t="n"/>
    </row>
    <row r="19">
      <c r="A19" s="3" t="inlineStr">
        <is>
          <t>EC1-008</t>
        </is>
      </c>
      <c r="B19" s="3" t="inlineStr">
        <is>
          <t>Toán</t>
        </is>
      </c>
      <c r="C19" s="22" t="n">
        <v>1</v>
      </c>
      <c r="D19" s="3" t="inlineStr">
        <is>
          <t>Sau khi học trừ tương ứng</t>
        </is>
      </c>
      <c r="E19" s="3" t="inlineStr">
        <is>
          <t>Toán có lời văn</t>
        </is>
      </c>
      <c r="F19" s="23" t="n">
        <v>3</v>
      </c>
      <c r="G19" s="3" t="inlineStr">
        <is>
          <t>Vận dụng</t>
        </is>
      </c>
      <c r="H19" s="22" t="n"/>
      <c r="I19" s="3" t="n"/>
      <c r="J19" s="3" t="inlineStr">
        <is>
          <t>Điền đáp án</t>
        </is>
      </c>
      <c r="K19" s="3" t="inlineStr">
        <is>
          <t>Có 5 con chim, 2 con bay đi. Còn lại bao nhiêu con?</t>
        </is>
      </c>
      <c r="L19" s="3" t="n"/>
      <c r="M19" s="3" t="n"/>
      <c r="N19" s="3" t="n"/>
      <c r="O19" s="3" t="n"/>
      <c r="P19" s="3" t="n"/>
      <c r="Q19" s="3" t="inlineStr">
        <is>
          <t>3</t>
        </is>
      </c>
      <c r="R19" s="3" t="inlineStr">
        <is>
          <t>Bớt đi nên tính 5 − 2 = 3.</t>
        </is>
      </c>
      <c r="S19" s="3" t="inlineStr">
        <is>
          <t>Bay đi là bớt đi, ta làm phép trừ: 5 − 2 = 3. Còn lại 3 con chim.</t>
        </is>
      </c>
      <c r="T19" s="22" t="n">
        <v>60</v>
      </c>
      <c r="U19" s="22">
        <f>INDEX(Khung_cap_do!$H$2:$H$6,F19)</f>
        <v/>
      </c>
      <c r="V19" s="22" t="n">
        <v>1</v>
      </c>
      <c r="W19" s="22" t="n">
        <v>6</v>
      </c>
      <c r="X19" s="3" t="inlineStr">
        <is>
          <t>T1.PT.03</t>
        </is>
      </c>
      <c r="Y19" s="3" t="inlineStr">
        <is>
          <t>TOAN.LOIVAN</t>
        </is>
      </c>
      <c r="Z19" s="3" t="inlineStr">
        <is>
          <t>Bộ mẫu</t>
        </is>
      </c>
      <c r="AA19" s="3" t="inlineStr"/>
      <c r="AB19" s="3" t="inlineStr">
        <is>
          <t>Đã học phép trừ 5 − 2.</t>
        </is>
      </c>
      <c r="AC19" s="3" t="inlineStr">
        <is>
          <t>Chỉ phát hành khi phù hợp tiến trình lớp.</t>
        </is>
      </c>
      <c r="AD19" s="3" t="inlineStr">
        <is>
          <t>Chương trình GDPT 2018 / kế hoạch dạy học của trường; đối chiếu văn bản hiện hành</t>
        </is>
      </c>
      <c r="AE19" s="3" t="inlineStr">
        <is>
          <t>Bản mẫu — cần rà soát</t>
        </is>
      </c>
      <c r="AF19" s="3" t="inlineStr">
        <is>
          <t>Chờ giáo viên duyệt</t>
        </is>
      </c>
      <c r="AG19" s="3" t="n"/>
    </row>
    <row r="20">
      <c r="A20" s="3" t="inlineStr">
        <is>
          <t>EC1-009</t>
        </is>
      </c>
      <c r="B20" s="3" t="inlineStr">
        <is>
          <t>Toán</t>
        </is>
      </c>
      <c r="C20" s="22" t="n">
        <v>1</v>
      </c>
      <c r="D20" s="3" t="inlineStr">
        <is>
          <t>Sau khi học tách/gộp số</t>
        </is>
      </c>
      <c r="E20" s="3" t="inlineStr">
        <is>
          <t>Tách và gộp số</t>
        </is>
      </c>
      <c r="F20" s="23" t="n">
        <v>3</v>
      </c>
      <c r="G20" s="3" t="inlineStr">
        <is>
          <t>Vận dụng</t>
        </is>
      </c>
      <c r="H20" s="22" t="n"/>
      <c r="I20" s="3" t="n"/>
      <c r="J20" s="3" t="inlineStr">
        <is>
          <t>Điền đáp án</t>
        </is>
      </c>
      <c r="K20" s="3" t="inlineStr">
        <is>
          <t>Có 5 khối gỗ, 2 khối đỏ, còn lại xanh. Có mấy khối xanh?</t>
        </is>
      </c>
      <c r="L20" s="3" t="n"/>
      <c r="M20" s="3" t="n"/>
      <c r="N20" s="3" t="n"/>
      <c r="O20" s="3" t="n"/>
      <c r="P20" s="3" t="n"/>
      <c r="Q20" s="3" t="inlineStr">
        <is>
          <t>3</t>
        </is>
      </c>
      <c r="R20" s="3" t="inlineStr">
        <is>
          <t>5 − 2 = 3.</t>
        </is>
      </c>
      <c r="S20" s="3" t="inlineStr">
        <is>
          <t>Lấy tất cả trừ đi số khối đỏ: 5 − 2 = 3. Có 3 khối xanh.</t>
        </is>
      </c>
      <c r="T20" s="22" t="n">
        <v>60</v>
      </c>
      <c r="U20" s="22">
        <f>INDEX(Khung_cap_do!$H$2:$H$6,F20)</f>
        <v/>
      </c>
      <c r="V20" s="22" t="n">
        <v>2</v>
      </c>
      <c r="W20" s="22" t="n">
        <v>5</v>
      </c>
      <c r="X20" s="3" t="inlineStr">
        <is>
          <t>T1.PT.03</t>
        </is>
      </c>
      <c r="Y20" s="3" t="inlineStr">
        <is>
          <t>TOAN.LOIVAN</t>
        </is>
      </c>
      <c r="Z20" s="3" t="inlineStr">
        <is>
          <t>Bộ mẫu</t>
        </is>
      </c>
      <c r="AA20" s="3" t="inlineStr"/>
      <c r="AB20" s="3" t="inlineStr">
        <is>
          <t>Đã học tách/gộp hoặc phép trừ tương ứng.</t>
        </is>
      </c>
      <c r="AC20" s="3" t="inlineStr">
        <is>
          <t>Giáo viên rà soát mạch kiến thức.</t>
        </is>
      </c>
      <c r="AD20" s="3" t="inlineStr">
        <is>
          <t>Chương trình GDPT 2018 / kế hoạch dạy học của trường; đối chiếu văn bản hiện hành</t>
        </is>
      </c>
      <c r="AE20" s="3" t="inlineStr">
        <is>
          <t>Bản mẫu — cần rà soát</t>
        </is>
      </c>
      <c r="AF20" s="3" t="inlineStr">
        <is>
          <t>Chờ giáo viên duyệt</t>
        </is>
      </c>
      <c r="AG20" s="3" t="n"/>
    </row>
    <row r="21">
      <c r="A21" s="3" t="inlineStr">
        <is>
          <t>EC1-012</t>
        </is>
      </c>
      <c r="B21" s="3" t="inlineStr">
        <is>
          <t>Toán</t>
        </is>
      </c>
      <c r="C21" s="22" t="n">
        <v>1</v>
      </c>
      <c r="D21" s="3" t="inlineStr">
        <is>
          <t>Sau khi học phép cộng phù hợp</t>
        </is>
      </c>
      <c r="E21" s="3" t="inlineStr">
        <is>
          <t>Giải quyết vấn đề</t>
        </is>
      </c>
      <c r="F21" s="23" t="n">
        <v>3</v>
      </c>
      <c r="G21" s="3" t="inlineStr">
        <is>
          <t>Vận dụng</t>
        </is>
      </c>
      <c r="H21" s="22" t="n">
        <v>4</v>
      </c>
      <c r="I21" s="3" t="inlineStr">
        <is>
          <t>Cùng dạng "thêm vào" với EC1-007 (một phép tính), nên xếp L3.</t>
        </is>
      </c>
      <c r="J21" s="3" t="inlineStr">
        <is>
          <t>Điền đáp án</t>
        </is>
      </c>
      <c r="K21" s="3" t="inlineStr">
        <is>
          <t>Có 2 con vịt, 3 con đi tới. Có tất cả bao nhiêu con?</t>
        </is>
      </c>
      <c r="L21" s="3" t="n"/>
      <c r="M21" s="3" t="n"/>
      <c r="N21" s="3" t="n"/>
      <c r="O21" s="3" t="n"/>
      <c r="P21" s="3" t="n"/>
      <c r="Q21" s="3" t="inlineStr">
        <is>
          <t>5</t>
        </is>
      </c>
      <c r="R21" s="3" t="inlineStr">
        <is>
          <t>Có thêm vịt: 2 + 3 = 5.</t>
        </is>
      </c>
      <c r="S21" s="3" t="inlineStr">
        <is>
          <t>Đi tới là thêm vào: 2 + 3 = 5. Có tất cả 5 con vịt.</t>
        </is>
      </c>
      <c r="T21" s="22" t="n">
        <v>60</v>
      </c>
      <c r="U21" s="22">
        <f>INDEX(Khung_cap_do!$H$2:$H$6,F21)</f>
        <v/>
      </c>
      <c r="V21" s="22" t="n">
        <v>2</v>
      </c>
      <c r="W21" s="22" t="n">
        <v>6</v>
      </c>
      <c r="X21" s="3" t="inlineStr">
        <is>
          <t>T1.PT.03</t>
        </is>
      </c>
      <c r="Y21" s="3" t="inlineStr">
        <is>
          <t>TOAN.LOIVAN</t>
        </is>
      </c>
      <c r="Z21" s="3" t="inlineStr">
        <is>
          <t>Bộ mẫu</t>
        </is>
      </c>
      <c r="AA21" s="3" t="inlineStr"/>
      <c r="AB21" s="3" t="inlineStr">
        <is>
          <t>Đã học phép cộng 2 + 3.</t>
        </is>
      </c>
      <c r="AC21" s="3" t="inlineStr">
        <is>
          <t>Không dùng nếu phép tính chưa được dạy.</t>
        </is>
      </c>
      <c r="AD21" s="3" t="inlineStr">
        <is>
          <t>Chương trình GDPT 2018 / kế hoạch dạy học của trường; đối chiếu văn bản hiện hành</t>
        </is>
      </c>
      <c r="AE21" s="3" t="inlineStr">
        <is>
          <t>Bản mẫu — cần rà soát</t>
        </is>
      </c>
      <c r="AF21" s="3" t="inlineStr">
        <is>
          <t>Chờ giáo viên duyệt</t>
        </is>
      </c>
      <c r="AG21" s="3" t="n"/>
    </row>
    <row r="22">
      <c r="A22" s="3" t="inlineStr">
        <is>
          <t>EC1-015</t>
        </is>
      </c>
      <c r="B22" s="3" t="inlineStr">
        <is>
          <t>Toán</t>
        </is>
      </c>
      <c r="C22" s="22" t="n">
        <v>1</v>
      </c>
      <c r="D22" s="3" t="inlineStr">
        <is>
          <t>Ôn tập cuối giai đoạn</t>
        </is>
      </c>
      <c r="E22" s="3" t="inlineStr">
        <is>
          <t>Tổng hợp</t>
        </is>
      </c>
      <c r="F22" s="23" t="n">
        <v>3</v>
      </c>
      <c r="G22" s="3" t="inlineStr">
        <is>
          <t>Vận dụng</t>
        </is>
      </c>
      <c r="H22" s="22" t="n">
        <v>5</v>
      </c>
      <c r="I22" s="3" t="inlineStr">
        <is>
          <t>Chỉ cần một phép trừ quen thuộc, chưa phải tình huống mở rộng; xếp L3.</t>
        </is>
      </c>
      <c r="J22" s="3" t="inlineStr">
        <is>
          <t>Chọn đáp án</t>
        </is>
      </c>
      <c r="K22" s="3" t="inlineStr">
        <is>
          <t>Có 6 chiếc lá, 2 chiếc rơi xuống. Còn lại bao nhiêu?</t>
        </is>
      </c>
      <c r="L22" s="3" t="inlineStr">
        <is>
          <t>8</t>
        </is>
      </c>
      <c r="M22" s="3" t="inlineStr">
        <is>
          <t>4</t>
        </is>
      </c>
      <c r="N22" s="3" t="inlineStr">
        <is>
          <t>3</t>
        </is>
      </c>
      <c r="O22" s="3" t="n"/>
      <c r="P22" s="3" t="n"/>
      <c r="Q22" s="3" t="inlineStr">
        <is>
          <t>B</t>
        </is>
      </c>
      <c r="R22" s="3" t="inlineStr">
        <is>
          <t>6 − 2 = 4.</t>
        </is>
      </c>
      <c r="S22" s="3" t="inlineStr">
        <is>
          <t>Rơi xuống là bớt đi: 6 − 2 = 4. Còn lại 4 chiếc lá.</t>
        </is>
      </c>
      <c r="T22" s="22" t="n">
        <v>50</v>
      </c>
      <c r="U22" s="22">
        <f>INDEX(Khung_cap_do!$H$2:$H$6,F22)</f>
        <v/>
      </c>
      <c r="V22" s="22" t="n">
        <v>3</v>
      </c>
      <c r="W22" s="22" t="n">
        <v>5</v>
      </c>
      <c r="X22" s="3" t="inlineStr">
        <is>
          <t>T1.PT.03</t>
        </is>
      </c>
      <c r="Y22" s="3" t="inlineStr">
        <is>
          <t>TOAN.LOIVAN</t>
        </is>
      </c>
      <c r="Z22" s="3" t="inlineStr">
        <is>
          <t>Bộ mẫu</t>
        </is>
      </c>
      <c r="AA22" s="3" t="inlineStr"/>
      <c r="AB22" s="3" t="inlineStr">
        <is>
          <t>Đã học phép trừ 6 − 2.</t>
        </is>
      </c>
      <c r="AC22" s="3" t="inlineStr">
        <is>
          <t>Chỉ dùng nếu tất cả kiến thức đã được học.</t>
        </is>
      </c>
      <c r="AD22" s="3" t="inlineStr">
        <is>
          <t>Chương trình GDPT 2018 / kế hoạch dạy học của trường; đối chiếu văn bản hiện hành</t>
        </is>
      </c>
      <c r="AE22" s="3" t="inlineStr">
        <is>
          <t>Bản mẫu — cần rà soát</t>
        </is>
      </c>
      <c r="AF22" s="3" t="inlineStr">
        <is>
          <t>Chờ giáo viên duyệt</t>
        </is>
      </c>
      <c r="AG22" s="3" t="n"/>
    </row>
    <row r="23">
      <c r="A23" s="3" t="inlineStr">
        <is>
          <t>EC1-056</t>
        </is>
      </c>
      <c r="B23" s="3" t="inlineStr">
        <is>
          <t>Toán</t>
        </is>
      </c>
      <c r="C23" s="22" t="n">
        <v>1</v>
      </c>
      <c r="D23" s="3" t="inlineStr">
        <is>
          <t>Sau khi học phép cộng trong phạm vi 10</t>
        </is>
      </c>
      <c r="E23" s="3" t="inlineStr">
        <is>
          <t>Toán có lời văn</t>
        </is>
      </c>
      <c r="F23" s="23" t="n">
        <v>3</v>
      </c>
      <c r="G23" s="3" t="inlineStr">
        <is>
          <t>Vận dụng</t>
        </is>
      </c>
      <c r="H23" s="22" t="n"/>
      <c r="I23" s="3" t="n"/>
      <c r="J23" s="3" t="inlineStr">
        <is>
          <t>Điền đáp án</t>
        </is>
      </c>
      <c r="K23" s="3" t="inlineStr">
        <is>
          <t>Trong vườn có 6 cây cam và 3 cây bưởi. Vườn có tất cả bao nhiêu cây?</t>
        </is>
      </c>
      <c r="L23" s="3" t="n"/>
      <c r="M23" s="3" t="n"/>
      <c r="N23" s="3" t="n"/>
      <c r="O23" s="3" t="n"/>
      <c r="P23" s="3" t="n"/>
      <c r="Q23" s="3" t="inlineStr">
        <is>
          <t>9 / chín</t>
        </is>
      </c>
      <c r="R23" s="3" t="inlineStr">
        <is>
          <t>6 + 3 = 9.</t>
        </is>
      </c>
      <c r="S23" s="3" t="inlineStr">
        <is>
          <t>Gộp cây cam và cây bưởi: 6 + 3 = 9. Vườn có 9 cây.</t>
        </is>
      </c>
      <c r="T23" s="22" t="n">
        <v>70</v>
      </c>
      <c r="U23" s="22">
        <f>INDEX(Khung_cap_do!$H$2:$H$6,F23)</f>
        <v/>
      </c>
      <c r="V23" s="22" t="n">
        <v>3</v>
      </c>
      <c r="W23" s="22" t="n">
        <v>6</v>
      </c>
      <c r="X23" s="3" t="inlineStr">
        <is>
          <t>T1.PT.03</t>
        </is>
      </c>
      <c r="Y23" s="3" t="inlineStr">
        <is>
          <t>TOAN.LOIVAN</t>
        </is>
      </c>
      <c r="Z23" s="3" t="inlineStr">
        <is>
          <t>Soạn thêm</t>
        </is>
      </c>
      <c r="AA23" s="3" t="inlineStr"/>
      <c r="AB23" s="3" t="inlineStr">
        <is>
          <t>Đã học cộng trong phạm vi 10.</t>
        </is>
      </c>
      <c r="AC23" s="3" t="inlineStr">
        <is>
          <t>Chương trình GDPT 2018 – Toán 1; đối chiếu SGK Kết nối tri thức.</t>
        </is>
      </c>
      <c r="AD23" s="3" t="inlineStr">
        <is>
          <t>EduChain Kids soạn thêm (2026-10); bám chương trình GDPT 2018 và trình tự SGK đã chọn</t>
        </is>
      </c>
      <c r="AE23" s="3" t="inlineStr">
        <is>
          <t>Bản soạn mới — cần rà soát</t>
        </is>
      </c>
      <c r="AF23" s="3" t="inlineStr">
        <is>
          <t>Chờ giáo viên duyệt</t>
        </is>
      </c>
      <c r="AG23" s="3" t="n"/>
    </row>
    <row r="24">
      <c r="A24" s="3" t="inlineStr">
        <is>
          <t>EC1-057</t>
        </is>
      </c>
      <c r="B24" s="3" t="inlineStr">
        <is>
          <t>Toán</t>
        </is>
      </c>
      <c r="C24" s="22" t="n">
        <v>1</v>
      </c>
      <c r="D24" s="3" t="inlineStr">
        <is>
          <t>Sau khi học phép trừ trong phạm vi 10</t>
        </is>
      </c>
      <c r="E24" s="3" t="inlineStr">
        <is>
          <t>Toán có lời văn</t>
        </is>
      </c>
      <c r="F24" s="23" t="n">
        <v>3</v>
      </c>
      <c r="G24" s="3" t="inlineStr">
        <is>
          <t>Vận dụng</t>
        </is>
      </c>
      <c r="H24" s="22" t="n"/>
      <c r="I24" s="3" t="n"/>
      <c r="J24" s="3" t="inlineStr">
        <is>
          <t>Điền đáp án</t>
        </is>
      </c>
      <c r="K24" s="3" t="inlineStr">
        <is>
          <t>Bình có 8 cái kẹo, Bình cho em 3 cái. Bình còn lại mấy cái kẹo?</t>
        </is>
      </c>
      <c r="L24" s="3" t="n"/>
      <c r="M24" s="3" t="n"/>
      <c r="N24" s="3" t="n"/>
      <c r="O24" s="3" t="n"/>
      <c r="P24" s="3" t="n"/>
      <c r="Q24" s="3" t="inlineStr">
        <is>
          <t>5 / năm</t>
        </is>
      </c>
      <c r="R24" s="3" t="inlineStr">
        <is>
          <t>8 − 3 = 5.</t>
        </is>
      </c>
      <c r="S24" s="3" t="inlineStr">
        <is>
          <t>Cho em là bớt đi: 8 − 3 = 5. Bình còn 5 cái kẹo.</t>
        </is>
      </c>
      <c r="T24" s="22" t="n">
        <v>70</v>
      </c>
      <c r="U24" s="22">
        <f>INDEX(Khung_cap_do!$H$2:$H$6,F24)</f>
        <v/>
      </c>
      <c r="V24" s="22" t="n">
        <v>4</v>
      </c>
      <c r="W24" s="22" t="n">
        <v>5</v>
      </c>
      <c r="X24" s="3" t="inlineStr">
        <is>
          <t>T1.PT.03</t>
        </is>
      </c>
      <c r="Y24" s="3" t="inlineStr">
        <is>
          <t>TOAN.LOIVAN</t>
        </is>
      </c>
      <c r="Z24" s="3" t="inlineStr">
        <is>
          <t>Soạn thêm</t>
        </is>
      </c>
      <c r="AA24" s="3" t="inlineStr"/>
      <c r="AB24" s="3" t="inlineStr">
        <is>
          <t>Đã học trừ trong phạm vi 10.</t>
        </is>
      </c>
      <c r="AC24" s="3" t="inlineStr">
        <is>
          <t>Chương trình GDPT 2018 – Toán 1; đối chiếu SGK Kết nối tri thức.</t>
        </is>
      </c>
      <c r="AD24" s="3" t="inlineStr">
        <is>
          <t>EduChain Kids soạn thêm (2026-10); bám chương trình GDPT 2018 và trình tự SGK đã chọn</t>
        </is>
      </c>
      <c r="AE24" s="3" t="inlineStr">
        <is>
          <t>Bản soạn mới — cần rà soát</t>
        </is>
      </c>
      <c r="AF24" s="3" t="inlineStr">
        <is>
          <t>Chờ giáo viên duyệt</t>
        </is>
      </c>
      <c r="AG24" s="3" t="n"/>
    </row>
    <row r="25">
      <c r="A25" s="3" t="inlineStr">
        <is>
          <t>EC1-058</t>
        </is>
      </c>
      <c r="B25" s="3" t="inlineStr">
        <is>
          <t>Toán</t>
        </is>
      </c>
      <c r="C25" s="22" t="n">
        <v>1</v>
      </c>
      <c r="D25" s="3" t="inlineStr">
        <is>
          <t>Sau khi học cộng, trừ trong phạm vi 10</t>
        </is>
      </c>
      <c r="E25" s="3" t="inlineStr">
        <is>
          <t>Tính nhẩm</t>
        </is>
      </c>
      <c r="F25" s="23" t="n">
        <v>3</v>
      </c>
      <c r="G25" s="3" t="inlineStr">
        <is>
          <t>Vận dụng</t>
        </is>
      </c>
      <c r="H25" s="22" t="n"/>
      <c r="I25" s="3" t="n"/>
      <c r="J25" s="3" t="inlineStr">
        <is>
          <t>Chọn nhiều đáp án</t>
        </is>
      </c>
      <c r="K25" s="3" t="inlineStr">
        <is>
          <t>Chọn TẤT CẢ phép tính có kết quả bằng 6.</t>
        </is>
      </c>
      <c r="L25" s="3" t="inlineStr">
        <is>
          <t>3 + 3</t>
        </is>
      </c>
      <c r="M25" s="3" t="inlineStr">
        <is>
          <t>4 + 2</t>
        </is>
      </c>
      <c r="N25" s="3" t="inlineStr">
        <is>
          <t>9 − 2</t>
        </is>
      </c>
      <c r="O25" s="3" t="inlineStr">
        <is>
          <t>10 − 4</t>
        </is>
      </c>
      <c r="P25" s="3" t="n"/>
      <c r="Q25" s="3" t="inlineStr">
        <is>
          <t>A, B, D</t>
        </is>
      </c>
      <c r="R25" s="3" t="inlineStr">
        <is>
          <t>3 + 3 = 6; 4 + 2 = 6; 10 − 4 = 6; còn 9 − 2 = 7.</t>
        </is>
      </c>
      <c r="S25" s="3" t="inlineStr">
        <is>
          <t>Tính từng phép: 3 + 3 = 6, 4 + 2 = 6, 9 − 2 = 7, 10 − 4 = 6. Chọn 3 phép có kết quả 6.</t>
        </is>
      </c>
      <c r="T25" s="22" t="n">
        <v>60</v>
      </c>
      <c r="U25" s="22">
        <f>INDEX(Khung_cap_do!$H$2:$H$6,F25)</f>
        <v/>
      </c>
      <c r="V25" s="22" t="n">
        <v>4</v>
      </c>
      <c r="W25" s="22" t="n">
        <v>6</v>
      </c>
      <c r="X25" s="3" t="inlineStr">
        <is>
          <t>T1.PT.02</t>
        </is>
      </c>
      <c r="Y25" s="3" t="inlineStr">
        <is>
          <t>TOAN.TINH</t>
        </is>
      </c>
      <c r="Z25" s="3" t="inlineStr">
        <is>
          <t>Soạn thêm</t>
        </is>
      </c>
      <c r="AA25" s="3" t="inlineStr"/>
      <c r="AB25" s="3" t="inlineStr">
        <is>
          <t>Đã học cộng, trừ trong phạm vi 10.</t>
        </is>
      </c>
      <c r="AC25" s="3" t="inlineStr">
        <is>
          <t>Chương trình GDPT 2018 – Toán 1; đối chiếu SGK Kết nối tri thức.</t>
        </is>
      </c>
      <c r="AD25" s="3" t="inlineStr">
        <is>
          <t>EduChain Kids soạn thêm (2026-10); bám chương trình GDPT 2018 và trình tự SGK đã chọn</t>
        </is>
      </c>
      <c r="AE25" s="3" t="inlineStr">
        <is>
          <t>Bản soạn mới — cần rà soát</t>
        </is>
      </c>
      <c r="AF25" s="3" t="inlineStr">
        <is>
          <t>Chờ giáo viên duyệt</t>
        </is>
      </c>
      <c r="AG25" s="3" t="n"/>
    </row>
    <row r="26">
      <c r="A26" s="3" t="inlineStr">
        <is>
          <t>EC1-010</t>
        </is>
      </c>
      <c r="B26" s="3" t="inlineStr">
        <is>
          <t>Toán</t>
        </is>
      </c>
      <c r="C26" s="22" t="n">
        <v>1</v>
      </c>
      <c r="D26" s="3" t="inlineStr">
        <is>
          <t>Sau khi học cộng phù hợp</t>
        </is>
      </c>
      <c r="E26" s="3" t="inlineStr">
        <is>
          <t>Chọn phép tính</t>
        </is>
      </c>
      <c r="F26" s="23" t="n">
        <v>4</v>
      </c>
      <c r="G26" s="3" t="inlineStr">
        <is>
          <t>Thử thách</t>
        </is>
      </c>
      <c r="H26" s="22" t="n"/>
      <c r="I26" s="3" t="n"/>
      <c r="J26" s="3" t="inlineStr">
        <is>
          <t>Chọn đáp án</t>
        </is>
      </c>
      <c r="K26" s="3" t="inlineStr">
        <is>
          <t>An có 3 viên bi, Bình có 2 viên. Cả hai có bao nhiêu viên?</t>
        </is>
      </c>
      <c r="L26" s="3" t="inlineStr">
        <is>
          <t>3 − 2 = 1</t>
        </is>
      </c>
      <c r="M26" s="3" t="inlineStr">
        <is>
          <t>3 + 2 = 5</t>
        </is>
      </c>
      <c r="N26" s="3" t="inlineStr">
        <is>
          <t>3 = 2</t>
        </is>
      </c>
      <c r="O26" s="3" t="n"/>
      <c r="P26" s="3" t="n"/>
      <c r="Q26" s="3" t="inlineStr">
        <is>
          <t>B</t>
        </is>
      </c>
      <c r="R26" s="3" t="inlineStr">
        <is>
          <t>Gộp số bi: 3 + 2 = 5.</t>
        </is>
      </c>
      <c r="S26" s="3" t="inlineStr">
        <is>
          <t>"Cả hai" là gộp lại, ta chọn phép cộng: 3 + 2 = 5.</t>
        </is>
      </c>
      <c r="T26" s="22" t="n">
        <v>60</v>
      </c>
      <c r="U26" s="22">
        <f>INDEX(Khung_cap_do!$H$2:$H$6,F26)</f>
        <v/>
      </c>
      <c r="V26" s="22" t="n">
        <v>1</v>
      </c>
      <c r="W26" s="22" t="n">
        <v>7</v>
      </c>
      <c r="X26" s="3" t="inlineStr">
        <is>
          <t>T1.PT.07</t>
        </is>
      </c>
      <c r="Y26" s="3" t="inlineStr">
        <is>
          <t>TOAN.LOIVAN</t>
        </is>
      </c>
      <c r="Z26" s="3" t="inlineStr">
        <is>
          <t>Bộ mẫu</t>
        </is>
      </c>
      <c r="AA26" s="3" t="inlineStr"/>
      <c r="AB26" s="3" t="inlineStr">
        <is>
          <t>Đã học cộng trong phạm vi 5.</t>
        </is>
      </c>
      <c r="AC26" s="3" t="inlineStr">
        <is>
          <t>Khó hơn ở việc chọn phép tính, không phải kiến thức mới.</t>
        </is>
      </c>
      <c r="AD26" s="3" t="inlineStr">
        <is>
          <t>Chương trình GDPT 2018 / kế hoạch dạy học của trường; đối chiếu văn bản hiện hành</t>
        </is>
      </c>
      <c r="AE26" s="3" t="inlineStr">
        <is>
          <t>Bản mẫu — cần rà soát</t>
        </is>
      </c>
      <c r="AF26" s="3" t="inlineStr">
        <is>
          <t>Chờ giáo viên duyệt</t>
        </is>
      </c>
      <c r="AG26" s="3" t="n"/>
    </row>
    <row r="27">
      <c r="A27" s="3" t="inlineStr">
        <is>
          <t>EC1-011</t>
        </is>
      </c>
      <c r="B27" s="3" t="inlineStr">
        <is>
          <t>Toán</t>
        </is>
      </c>
      <c r="C27" s="22" t="n">
        <v>1</v>
      </c>
      <c r="D27" s="3" t="inlineStr">
        <is>
          <t>Sau khi học dãy số</t>
        </is>
      </c>
      <c r="E27" s="3" t="inlineStr">
        <is>
          <t>Quy luật</t>
        </is>
      </c>
      <c r="F27" s="23" t="n">
        <v>4</v>
      </c>
      <c r="G27" s="3" t="inlineStr">
        <is>
          <t>Thử thách</t>
        </is>
      </c>
      <c r="H27" s="22" t="n"/>
      <c r="I27" s="3" t="n"/>
      <c r="J27" s="3" t="inlineStr">
        <is>
          <t>Chọn đáp án</t>
        </is>
      </c>
      <c r="K27" s="3" t="inlineStr">
        <is>
          <t>Dãy 1, 2, 1, 2, __. Số tiếp theo là gì?</t>
        </is>
      </c>
      <c r="L27" s="3" t="inlineStr">
        <is>
          <t>1</t>
        </is>
      </c>
      <c r="M27" s="3" t="inlineStr">
        <is>
          <t>3</t>
        </is>
      </c>
      <c r="N27" s="3" t="inlineStr">
        <is>
          <t>4</t>
        </is>
      </c>
      <c r="O27" s="3" t="n"/>
      <c r="P27" s="3" t="n"/>
      <c r="Q27" s="3" t="inlineStr">
        <is>
          <t>A</t>
        </is>
      </c>
      <c r="R27" s="3" t="inlineStr">
        <is>
          <t>Dãy lặp lại 1 rồi 2.</t>
        </is>
      </c>
      <c r="S27" s="3" t="inlineStr">
        <is>
          <t>Các số lặp lại theo nhóm "1, 2". Sau 2 lại là 1.</t>
        </is>
      </c>
      <c r="T27" s="22" t="n">
        <v>60</v>
      </c>
      <c r="U27" s="22">
        <f>INDEX(Khung_cap_do!$H$2:$H$6,F27)</f>
        <v/>
      </c>
      <c r="V27" s="22" t="n">
        <v>1</v>
      </c>
      <c r="W27" s="22" t="n">
        <v>8</v>
      </c>
      <c r="X27" s="3" t="inlineStr">
        <is>
          <t>T1.SO.01</t>
        </is>
      </c>
      <c r="Y27" s="3" t="inlineStr">
        <is>
          <t>TOAN.SOTHIEU</t>
        </is>
      </c>
      <c r="Z27" s="3" t="inlineStr">
        <is>
          <t>Bộ mẫu</t>
        </is>
      </c>
      <c r="AA27" s="3" t="inlineStr"/>
      <c r="AB27" s="3" t="inlineStr">
        <is>
          <t>Đọc được các số trong dãy.</t>
        </is>
      </c>
      <c r="AC27" s="3" t="inlineStr">
        <is>
          <t>Bài mở rộng; không thay thế nội dung cốt lõi.</t>
        </is>
      </c>
      <c r="AD27" s="3" t="inlineStr">
        <is>
          <t>Chương trình GDPT 2018 / kế hoạch dạy học của trường; đối chiếu văn bản hiện hành</t>
        </is>
      </c>
      <c r="AE27" s="3" t="inlineStr">
        <is>
          <t>Bản mẫu — cần rà soát</t>
        </is>
      </c>
      <c r="AF27" s="3" t="inlineStr">
        <is>
          <t>Chờ giáo viên duyệt</t>
        </is>
      </c>
      <c r="AG27" s="3" t="n"/>
    </row>
    <row r="28">
      <c r="A28" s="3" t="inlineStr">
        <is>
          <t>EC1-059</t>
        </is>
      </c>
      <c r="B28" s="3" t="inlineStr">
        <is>
          <t>Toán</t>
        </is>
      </c>
      <c r="C28" s="22" t="n">
        <v>1</v>
      </c>
      <c r="D28" s="3" t="inlineStr">
        <is>
          <t>Sau khi học phép trừ trong phạm vi 10</t>
        </is>
      </c>
      <c r="E28" s="3" t="inlineStr">
        <is>
          <t>Chọn phép tính</t>
        </is>
      </c>
      <c r="F28" s="23" t="n">
        <v>4</v>
      </c>
      <c r="G28" s="3" t="inlineStr">
        <is>
          <t>Thử thách</t>
        </is>
      </c>
      <c r="H28" s="22" t="n"/>
      <c r="I28" s="3" t="n"/>
      <c r="J28" s="3" t="inlineStr">
        <is>
          <t>Chọn đáp án</t>
        </is>
      </c>
      <c r="K28" s="3" t="inlineStr">
        <is>
          <t>Có 7 bạn đang chơi, 2 bạn về nhà. Phép tính nào đúng?</t>
        </is>
      </c>
      <c r="L28" s="3" t="inlineStr">
        <is>
          <t>7 + 2 = 9</t>
        </is>
      </c>
      <c r="M28" s="3" t="inlineStr">
        <is>
          <t>7 − 2 = 5</t>
        </is>
      </c>
      <c r="N28" s="3" t="inlineStr">
        <is>
          <t>5 − 2 = 3</t>
        </is>
      </c>
      <c r="O28" s="3" t="n"/>
      <c r="P28" s="3" t="n"/>
      <c r="Q28" s="3" t="inlineStr">
        <is>
          <t>B</t>
        </is>
      </c>
      <c r="R28" s="3" t="inlineStr">
        <is>
          <t>Về nhà là bớt đi: 7 − 2 = 5.</t>
        </is>
      </c>
      <c r="S28" s="3" t="inlineStr">
        <is>
          <t>Lúc đầu có 7 bạn, 2 bạn về nhà nên bớt đi 2: 7 − 2 = 5.</t>
        </is>
      </c>
      <c r="T28" s="22" t="n">
        <v>60</v>
      </c>
      <c r="U28" s="22">
        <f>INDEX(Khung_cap_do!$H$2:$H$6,F28)</f>
        <v/>
      </c>
      <c r="V28" s="22" t="n">
        <v>2</v>
      </c>
      <c r="W28" s="22" t="n">
        <v>7</v>
      </c>
      <c r="X28" s="3" t="inlineStr">
        <is>
          <t>T1.PT.07</t>
        </is>
      </c>
      <c r="Y28" s="3" t="inlineStr">
        <is>
          <t>TOAN.LOIVAN</t>
        </is>
      </c>
      <c r="Z28" s="3" t="inlineStr">
        <is>
          <t>Soạn thêm</t>
        </is>
      </c>
      <c r="AA28" s="3" t="inlineStr"/>
      <c r="AB28" s="3" t="inlineStr">
        <is>
          <t>Đã học trừ và bài toán có lời văn đơn giản.</t>
        </is>
      </c>
      <c r="AC28" s="3" t="inlineStr">
        <is>
          <t>Chương trình GDPT 2018 – Toán 1; đối chiếu SGK Kết nối tri thức.</t>
        </is>
      </c>
      <c r="AD28" s="3" t="inlineStr">
        <is>
          <t>EduChain Kids soạn thêm (2026-10); bám chương trình GDPT 2018 và trình tự SGK đã chọn</t>
        </is>
      </c>
      <c r="AE28" s="3" t="inlineStr">
        <is>
          <t>Bản soạn mới — cần rà soát</t>
        </is>
      </c>
      <c r="AF28" s="3" t="inlineStr">
        <is>
          <t>Chờ giáo viên duyệt</t>
        </is>
      </c>
      <c r="AG28" s="3" t="n"/>
    </row>
    <row r="29">
      <c r="A29" s="3" t="inlineStr">
        <is>
          <t>EC1-060</t>
        </is>
      </c>
      <c r="B29" s="3" t="inlineStr">
        <is>
          <t>Toán</t>
        </is>
      </c>
      <c r="C29" s="22" t="n">
        <v>1</v>
      </c>
      <c r="D29" s="3" t="inlineStr">
        <is>
          <t>Sau khi học phép cộng trong phạm vi 10</t>
        </is>
      </c>
      <c r="E29" s="3" t="inlineStr">
        <is>
          <t>Tìm số còn thiếu</t>
        </is>
      </c>
      <c r="F29" s="23" t="n">
        <v>4</v>
      </c>
      <c r="G29" s="3" t="inlineStr">
        <is>
          <t>Thử thách</t>
        </is>
      </c>
      <c r="H29" s="22" t="n"/>
      <c r="I29" s="3" t="n"/>
      <c r="J29" s="3" t="inlineStr">
        <is>
          <t>Điền đáp án</t>
        </is>
      </c>
      <c r="K29" s="3" t="inlineStr">
        <is>
          <t>Điền số còn thiếu: 3 + ... = 8</t>
        </is>
      </c>
      <c r="L29" s="3" t="n"/>
      <c r="M29" s="3" t="n"/>
      <c r="N29" s="3" t="n"/>
      <c r="O29" s="3" t="n"/>
      <c r="P29" s="3" t="n"/>
      <c r="Q29" s="3" t="inlineStr">
        <is>
          <t>5 / năm</t>
        </is>
      </c>
      <c r="R29" s="3" t="inlineStr">
        <is>
          <t>3 + 5 = 8.</t>
        </is>
      </c>
      <c r="S29" s="3" t="inlineStr">
        <is>
          <t>Đếm thêm từ 3 đến 8: 4, 5, 6, 7, 8 là 5 bước. Vậy 3 + 5 = 8.</t>
        </is>
      </c>
      <c r="T29" s="22" t="n">
        <v>70</v>
      </c>
      <c r="U29" s="22">
        <f>INDEX(Khung_cap_do!$H$2:$H$6,F29)</f>
        <v/>
      </c>
      <c r="V29" s="22" t="n">
        <v>2</v>
      </c>
      <c r="W29" s="22" t="n">
        <v>8</v>
      </c>
      <c r="X29" s="3" t="inlineStr">
        <is>
          <t>T1.PT.02</t>
        </is>
      </c>
      <c r="Y29" s="3" t="inlineStr">
        <is>
          <t>TOAN.SOTHIEU</t>
        </is>
      </c>
      <c r="Z29" s="3" t="inlineStr">
        <is>
          <t>Soạn thêm</t>
        </is>
      </c>
      <c r="AA29" s="3" t="inlineStr"/>
      <c r="AB29" s="3" t="inlineStr">
        <is>
          <t>Đã học cộng trong phạm vi 10.</t>
        </is>
      </c>
      <c r="AC29" s="3" t="inlineStr">
        <is>
          <t>Chương trình GDPT 2018 – Toán 1; đối chiếu SGK Kết nối tri thức.</t>
        </is>
      </c>
      <c r="AD29" s="3" t="inlineStr">
        <is>
          <t>EduChain Kids soạn thêm (2026-10); bám chương trình GDPT 2018 và trình tự SGK đã chọn</t>
        </is>
      </c>
      <c r="AE29" s="3" t="inlineStr">
        <is>
          <t>Bản soạn mới — cần rà soát</t>
        </is>
      </c>
      <c r="AF29" s="3" t="inlineStr">
        <is>
          <t>Chờ giáo viên duyệt</t>
        </is>
      </c>
      <c r="AG29" s="3" t="n"/>
    </row>
    <row r="30">
      <c r="A30" s="3" t="inlineStr">
        <is>
          <t>EC1-061</t>
        </is>
      </c>
      <c r="B30" s="3" t="inlineStr">
        <is>
          <t>Toán</t>
        </is>
      </c>
      <c r="C30" s="22" t="n">
        <v>1</v>
      </c>
      <c r="D30" s="3" t="inlineStr">
        <is>
          <t>Sau khi học các số 0–10</t>
        </is>
      </c>
      <c r="E30" s="3" t="inlineStr">
        <is>
          <t>Quy luật dãy số</t>
        </is>
      </c>
      <c r="F30" s="23" t="n">
        <v>4</v>
      </c>
      <c r="G30" s="3" t="inlineStr">
        <is>
          <t>Thử thách</t>
        </is>
      </c>
      <c r="H30" s="22" t="n"/>
      <c r="I30" s="3" t="n"/>
      <c r="J30" s="3" t="inlineStr">
        <is>
          <t>Điền đáp án</t>
        </is>
      </c>
      <c r="K30" s="3" t="inlineStr">
        <is>
          <t>Dãy số: 2, 4, 6, ... Số tiếp theo là số mấy?</t>
        </is>
      </c>
      <c r="L30" s="3" t="n"/>
      <c r="M30" s="3" t="n"/>
      <c r="N30" s="3" t="n"/>
      <c r="O30" s="3" t="n"/>
      <c r="P30" s="3" t="n"/>
      <c r="Q30" s="3" t="inlineStr">
        <is>
          <t>8 / tám</t>
        </is>
      </c>
      <c r="R30" s="3" t="inlineStr">
        <is>
          <t>Mỗi lần thêm 2: 6 + 2 = 8.</t>
        </is>
      </c>
      <c r="S30" s="3" t="inlineStr">
        <is>
          <t>2 lên 4 thêm 2, 4 lên 6 thêm 2. Vậy sau 6 là 6 + 2 = 8.</t>
        </is>
      </c>
      <c r="T30" s="22" t="n">
        <v>70</v>
      </c>
      <c r="U30" s="22">
        <f>INDEX(Khung_cap_do!$H$2:$H$6,F30)</f>
        <v/>
      </c>
      <c r="V30" s="22" t="n">
        <v>3</v>
      </c>
      <c r="W30" s="22" t="n">
        <v>7</v>
      </c>
      <c r="X30" s="3" t="inlineStr">
        <is>
          <t>T1.SO.01</t>
        </is>
      </c>
      <c r="Y30" s="3" t="inlineStr">
        <is>
          <t>TOAN.SOTHIEU</t>
        </is>
      </c>
      <c r="Z30" s="3" t="inlineStr">
        <is>
          <t>Soạn thêm</t>
        </is>
      </c>
      <c r="AA30" s="3" t="inlineStr"/>
      <c r="AB30" s="3" t="inlineStr">
        <is>
          <t>Đã học đếm, cộng trong phạm vi 10.</t>
        </is>
      </c>
      <c r="AC30" s="3" t="inlineStr">
        <is>
          <t>Chương trình GDPT 2018 – Toán 1; đối chiếu SGK Kết nối tri thức.</t>
        </is>
      </c>
      <c r="AD30" s="3" t="inlineStr">
        <is>
          <t>EduChain Kids soạn thêm (2026-10); bám chương trình GDPT 2018 và trình tự SGK đã chọn</t>
        </is>
      </c>
      <c r="AE30" s="3" t="inlineStr">
        <is>
          <t>Bản soạn mới — cần rà soát</t>
        </is>
      </c>
      <c r="AF30" s="3" t="inlineStr">
        <is>
          <t>Chờ giáo viên duyệt</t>
        </is>
      </c>
      <c r="AG30" s="3" t="n"/>
    </row>
    <row r="31">
      <c r="A31" s="3" t="inlineStr">
        <is>
          <t>EC1-062</t>
        </is>
      </c>
      <c r="B31" s="3" t="inlineStr">
        <is>
          <t>Toán</t>
        </is>
      </c>
      <c r="C31" s="22" t="n">
        <v>1</v>
      </c>
      <c r="D31" s="3" t="inlineStr">
        <is>
          <t>Sau khi học cộng, trừ trong phạm vi 10</t>
        </is>
      </c>
      <c r="E31" s="3" t="inlineStr">
        <is>
          <t>So sánh kết quả phép tính</t>
        </is>
      </c>
      <c r="F31" s="23" t="n">
        <v>4</v>
      </c>
      <c r="G31" s="3" t="inlineStr">
        <is>
          <t>Thử thách</t>
        </is>
      </c>
      <c r="H31" s="22" t="n"/>
      <c r="I31" s="3" t="n"/>
      <c r="J31" s="3" t="inlineStr">
        <is>
          <t>Đúng / Sai</t>
        </is>
      </c>
      <c r="K31" s="3" t="inlineStr">
        <is>
          <t>4 + 3 = 9 − 2</t>
        </is>
      </c>
      <c r="L31" s="3" t="inlineStr">
        <is>
          <t>Đúng</t>
        </is>
      </c>
      <c r="M31" s="3" t="inlineStr">
        <is>
          <t>Sai</t>
        </is>
      </c>
      <c r="N31" s="3" t="n"/>
      <c r="O31" s="3" t="n"/>
      <c r="P31" s="3" t="n"/>
      <c r="Q31" s="3" t="inlineStr">
        <is>
          <t>A</t>
        </is>
      </c>
      <c r="R31" s="3" t="inlineStr">
        <is>
          <t>4 + 3 = 7 và 9 − 2 = 7, hai bên bằng nhau.</t>
        </is>
      </c>
      <c r="S31" s="3" t="inlineStr">
        <is>
          <t>Tính bên trái: 4 + 3 = 7. Tính bên phải: 9 − 2 = 7. Hai bên đều bằng 7 nên đúng.</t>
        </is>
      </c>
      <c r="T31" s="22" t="n">
        <v>60</v>
      </c>
      <c r="U31" s="22">
        <f>INDEX(Khung_cap_do!$H$2:$H$6,F31)</f>
        <v/>
      </c>
      <c r="V31" s="22" t="n">
        <v>3</v>
      </c>
      <c r="W31" s="22" t="n">
        <v>8</v>
      </c>
      <c r="X31" s="3" t="inlineStr">
        <is>
          <t>T1.PT.02</t>
        </is>
      </c>
      <c r="Y31" s="3" t="inlineStr">
        <is>
          <t>TOAN.DUNGSAI</t>
        </is>
      </c>
      <c r="Z31" s="3" t="inlineStr">
        <is>
          <t>Soạn thêm</t>
        </is>
      </c>
      <c r="AA31" s="3" t="inlineStr"/>
      <c r="AB31" s="3" t="inlineStr">
        <is>
          <t>Đã học cộng, trừ trong phạm vi 10.</t>
        </is>
      </c>
      <c r="AC31" s="3" t="inlineStr">
        <is>
          <t>Chương trình GDPT 2018 – Toán 1; đối chiếu SGK Kết nối tri thức.</t>
        </is>
      </c>
      <c r="AD31" s="3" t="inlineStr">
        <is>
          <t>EduChain Kids soạn thêm (2026-10); bám chương trình GDPT 2018 và trình tự SGK đã chọn</t>
        </is>
      </c>
      <c r="AE31" s="3" t="inlineStr">
        <is>
          <t>Bản soạn mới — cần rà soát</t>
        </is>
      </c>
      <c r="AF31" s="3" t="inlineStr">
        <is>
          <t>Chờ giáo viên duyệt</t>
        </is>
      </c>
      <c r="AG31" s="3" t="n"/>
    </row>
    <row r="32">
      <c r="A32" s="3" t="inlineStr">
        <is>
          <t>EC1-063</t>
        </is>
      </c>
      <c r="B32" s="3" t="inlineStr">
        <is>
          <t>Toán</t>
        </is>
      </c>
      <c r="C32" s="22" t="n">
        <v>1</v>
      </c>
      <c r="D32" s="3" t="inlineStr">
        <is>
          <t>Sau khi học tính có hai dấu phép tính</t>
        </is>
      </c>
      <c r="E32" s="3" t="inlineStr">
        <is>
          <t>Toán có lời văn hai bước</t>
        </is>
      </c>
      <c r="F32" s="23" t="n">
        <v>4</v>
      </c>
      <c r="G32" s="3" t="inlineStr">
        <is>
          <t>Thử thách</t>
        </is>
      </c>
      <c r="H32" s="22" t="n"/>
      <c r="I32" s="3" t="n"/>
      <c r="J32" s="3" t="inlineStr">
        <is>
          <t>Điền đáp án</t>
        </is>
      </c>
      <c r="K32" s="3" t="inlineStr">
        <is>
          <t>Có 10 quả táo. Mẹ biếu bà 3 quả, cho bé 2 quả. Còn lại mấy quả?</t>
        </is>
      </c>
      <c r="L32" s="3" t="n"/>
      <c r="M32" s="3" t="n"/>
      <c r="N32" s="3" t="n"/>
      <c r="O32" s="3" t="n"/>
      <c r="P32" s="3" t="n"/>
      <c r="Q32" s="3" t="inlineStr">
        <is>
          <t>5 / năm</t>
        </is>
      </c>
      <c r="R32" s="3" t="inlineStr">
        <is>
          <t>10 − 3 − 2 = 5.</t>
        </is>
      </c>
      <c r="S32" s="3" t="inlineStr">
        <is>
          <t>Biếu bà 3 quả: 10 − 3 = 7. Cho bé 2 quả: 7 − 2 = 5. Còn lại 5 quả.</t>
        </is>
      </c>
      <c r="T32" s="22" t="n">
        <v>80</v>
      </c>
      <c r="U32" s="22">
        <f>INDEX(Khung_cap_do!$H$2:$H$6,F32)</f>
        <v/>
      </c>
      <c r="V32" s="22" t="n">
        <v>4</v>
      </c>
      <c r="W32" s="22" t="n">
        <v>7</v>
      </c>
      <c r="X32" s="3" t="inlineStr">
        <is>
          <t>T1.PT.06</t>
        </is>
      </c>
      <c r="Y32" s="3" t="inlineStr">
        <is>
          <t>TOAN.LOIVAN</t>
        </is>
      </c>
      <c r="Z32" s="3" t="inlineStr">
        <is>
          <t>Soạn thêm</t>
        </is>
      </c>
      <c r="AA32" s="3" t="inlineStr"/>
      <c r="AB32" s="3" t="inlineStr">
        <is>
          <t>Đã làm quen phép tính có hai dấu.</t>
        </is>
      </c>
      <c r="AC32" s="3" t="inlineStr">
        <is>
          <t>Chương trình GDPT 2018 – Toán 1; đối chiếu SGK Kết nối tri thức.</t>
        </is>
      </c>
      <c r="AD32" s="3" t="inlineStr">
        <is>
          <t>EduChain Kids soạn thêm (2026-10); bám chương trình GDPT 2018 và trình tự SGK đã chọn</t>
        </is>
      </c>
      <c r="AE32" s="3" t="inlineStr">
        <is>
          <t>Bản soạn mới — cần rà soát</t>
        </is>
      </c>
      <c r="AF32" s="3" t="inlineStr">
        <is>
          <t>Chờ giáo viên duyệt</t>
        </is>
      </c>
      <c r="AG32" s="3" t="n"/>
    </row>
    <row r="33">
      <c r="A33" s="3" t="inlineStr">
        <is>
          <t>EC1-064</t>
        </is>
      </c>
      <c r="B33" s="3" t="inlineStr">
        <is>
          <t>Toán</t>
        </is>
      </c>
      <c r="C33" s="22" t="n">
        <v>1</v>
      </c>
      <c r="D33" s="3" t="inlineStr">
        <is>
          <t>Sau khi học phép cộng trong phạm vi 10</t>
        </is>
      </c>
      <c r="E33" s="3" t="inlineStr">
        <is>
          <t>Lập phép tính</t>
        </is>
      </c>
      <c r="F33" s="23" t="n">
        <v>4</v>
      </c>
      <c r="G33" s="3" t="inlineStr">
        <is>
          <t>Thử thách</t>
        </is>
      </c>
      <c r="H33" s="22" t="n"/>
      <c r="I33" s="3" t="n"/>
      <c r="J33" s="3" t="inlineStr">
        <is>
          <t>Chọn đáp án</t>
        </is>
      </c>
      <c r="K33" s="3" t="inlineStr">
        <is>
          <t>Dùng 3 số 2, 5, 7 lập phép tính đúng.</t>
        </is>
      </c>
      <c r="L33" s="3" t="inlineStr">
        <is>
          <t>2 + 5 = 7</t>
        </is>
      </c>
      <c r="M33" s="3" t="inlineStr">
        <is>
          <t>5 + 7 = 2</t>
        </is>
      </c>
      <c r="N33" s="3" t="inlineStr">
        <is>
          <t>2 + 7 = 5</t>
        </is>
      </c>
      <c r="O33" s="3" t="n"/>
      <c r="P33" s="3" t="n"/>
      <c r="Q33" s="3" t="inlineStr">
        <is>
          <t>A</t>
        </is>
      </c>
      <c r="R33" s="3" t="inlineStr">
        <is>
          <t>2 + 5 = 7 là phép tính đúng.</t>
        </is>
      </c>
      <c r="S33" s="3" t="inlineStr">
        <is>
          <t>Thử từng phép: 2 + 5 = 7 đúng; 5 + 7 không bằng 2; 2 + 7 không bằng 5.</t>
        </is>
      </c>
      <c r="T33" s="22" t="n">
        <v>60</v>
      </c>
      <c r="U33" s="22">
        <f>INDEX(Khung_cap_do!$H$2:$H$6,F33)</f>
        <v/>
      </c>
      <c r="V33" s="22" t="n">
        <v>4</v>
      </c>
      <c r="W33" s="22" t="n">
        <v>8</v>
      </c>
      <c r="X33" s="3" t="inlineStr">
        <is>
          <t>T1.PT.02</t>
        </is>
      </c>
      <c r="Y33" s="3" t="inlineStr">
        <is>
          <t>TOAN.TINH</t>
        </is>
      </c>
      <c r="Z33" s="3" t="inlineStr">
        <is>
          <t>Soạn thêm</t>
        </is>
      </c>
      <c r="AA33" s="3" t="inlineStr"/>
      <c r="AB33" s="3" t="inlineStr">
        <is>
          <t>Đã học cộng trong phạm vi 10.</t>
        </is>
      </c>
      <c r="AC33" s="3" t="inlineStr">
        <is>
          <t>Chương trình GDPT 2018 – Toán 1; đối chiếu SGK Kết nối tri thức.</t>
        </is>
      </c>
      <c r="AD33" s="3" t="inlineStr">
        <is>
          <t>EduChain Kids soạn thêm (2026-10); bám chương trình GDPT 2018 và trình tự SGK đã chọn</t>
        </is>
      </c>
      <c r="AE33" s="3" t="inlineStr">
        <is>
          <t>Bản soạn mới — cần rà soát</t>
        </is>
      </c>
      <c r="AF33" s="3" t="inlineStr">
        <is>
          <t>Chờ giáo viên duyệt</t>
        </is>
      </c>
      <c r="AG33" s="3" t="n"/>
    </row>
    <row r="34">
      <c r="A34" s="3" t="inlineStr">
        <is>
          <t>EC1-013</t>
        </is>
      </c>
      <c r="B34" s="3" t="inlineStr">
        <is>
          <t>Toán</t>
        </is>
      </c>
      <c r="C34" s="22" t="n">
        <v>1</v>
      </c>
      <c r="D34" s="3" t="inlineStr">
        <is>
          <t>Sau khi học tách/gộp số</t>
        </is>
      </c>
      <c r="E34" s="3" t="inlineStr">
        <is>
          <t>Lập luận số</t>
        </is>
      </c>
      <c r="F34" s="23" t="n">
        <v>5</v>
      </c>
      <c r="G34" s="3" t="inlineStr">
        <is>
          <t>Mở rộng</t>
        </is>
      </c>
      <c r="H34" s="22" t="n"/>
      <c r="I34" s="3" t="n"/>
      <c r="J34" s="3" t="inlineStr">
        <is>
          <t>Trả lời ngắn</t>
        </is>
      </c>
      <c r="K34" s="3" t="inlineStr">
        <is>
          <t>Có 5 khối. Chia thành 2 nhóm, mỗi nhóm ít nhất 1 khối. Nêu một cách chia.</t>
        </is>
      </c>
      <c r="L34" s="3" t="n"/>
      <c r="M34" s="3" t="n"/>
      <c r="N34" s="3" t="n"/>
      <c r="O34" s="3" t="n"/>
      <c r="P34" s="3" t="n"/>
      <c r="Q34" s="3" t="inlineStr">
        <is>
          <t>Ví dụ: 1 và 4; 2 và 3.</t>
        </is>
      </c>
      <c r="R34" s="3" t="inlineStr">
        <is>
          <t>Chấp nhận mọi cách chia hợp lệ thành hai nhóm không rỗng.</t>
        </is>
      </c>
      <c r="S34" s="3" t="inlineStr">
        <is>
          <t>Hai nhóm gộp lại phải bằng 5: 1 + 4 = 5, 2 + 3 = 5. Còn 2 + 2 = 4 và 3 + 3 = 6 không đúng.</t>
        </is>
      </c>
      <c r="T34" s="22" t="n">
        <v>95</v>
      </c>
      <c r="U34" s="22">
        <f>INDEX(Khung_cap_do!$H$2:$H$6,F34)</f>
        <v/>
      </c>
      <c r="V34" s="22" t="n">
        <v>1</v>
      </c>
      <c r="W34" s="22" t="n">
        <v>9</v>
      </c>
      <c r="X34" s="3" t="inlineStr">
        <is>
          <t>T1.PT.01</t>
        </is>
      </c>
      <c r="Y34" s="3" t="inlineStr">
        <is>
          <t>TOAN.TINH</t>
        </is>
      </c>
      <c r="Z34" s="3" t="inlineStr">
        <is>
          <t>Bộ mẫu</t>
        </is>
      </c>
      <c r="AA34" s="3" t="inlineStr">
        <is>
          <t>[Chọn nhiều đáp án] Có 5 khối, chia thành 2 nhóm (mỗi nhóm ít nhất 1 khối). Chọn TẤT CẢ cách chia đúng.
A. 1 và 4 | B. 2 và 3 | C. 2 và 2 | D. 3 và 3
Đáp án: A, B
Ghi chú: Bản app chuyển câu trả lời mở thành "chọn tất cả cách chia đúng" để chấm tự động.</t>
        </is>
      </c>
      <c r="AB34" s="3" t="inlineStr">
        <is>
          <t>Đã học tách/gộp số.</t>
        </is>
      </c>
      <c r="AC34" s="3" t="inlineStr">
        <is>
          <t>Mở rộng nội bộ; cần rubric, không phải chuẩn chính thức.</t>
        </is>
      </c>
      <c r="AD34" s="3" t="inlineStr">
        <is>
          <t>Chương trình GDPT 2018 / kế hoạch dạy học của trường; đối chiếu văn bản hiện hành</t>
        </is>
      </c>
      <c r="AE34" s="3" t="inlineStr">
        <is>
          <t>Bản mẫu — cần rà soát</t>
        </is>
      </c>
      <c r="AF34" s="3" t="inlineStr">
        <is>
          <t>Chờ giáo viên duyệt</t>
        </is>
      </c>
      <c r="AG34" s="3" t="n"/>
    </row>
    <row r="35">
      <c r="A35" s="3" t="inlineStr">
        <is>
          <t>EC1-014</t>
        </is>
      </c>
      <c r="B35" s="3" t="inlineStr">
        <is>
          <t>Toán</t>
        </is>
      </c>
      <c r="C35" s="22" t="n">
        <v>1</v>
      </c>
      <c r="D35" s="3" t="inlineStr">
        <is>
          <t>Sau khi học quan hệ số lượng</t>
        </is>
      </c>
      <c r="E35" s="3" t="inlineStr">
        <is>
          <t>Chọn chiến lược</t>
        </is>
      </c>
      <c r="F35" s="23" t="n">
        <v>5</v>
      </c>
      <c r="G35" s="3" t="inlineStr">
        <is>
          <t>Mở rộng</t>
        </is>
      </c>
      <c r="H35" s="22" t="n"/>
      <c r="I35" s="3" t="n"/>
      <c r="J35" s="3" t="inlineStr">
        <is>
          <t>Trả lời ngắn</t>
        </is>
      </c>
      <c r="K35" s="3" t="inlineStr">
        <is>
          <t>Có 4 chiếc cốc và 3 bông hoa. Còn thiếu mấy bông để mỗi cốc có một bông?</t>
        </is>
      </c>
      <c r="L35" s="3" t="n"/>
      <c r="M35" s="3" t="n"/>
      <c r="N35" s="3" t="n"/>
      <c r="O35" s="3" t="n"/>
      <c r="P35" s="3" t="n"/>
      <c r="Q35" s="3" t="inlineStr">
        <is>
          <t>1</t>
        </is>
      </c>
      <c r="R35" s="3" t="inlineStr">
        <is>
          <t>4 − 3 = 1; còn thiếu 1 bông.</t>
        </is>
      </c>
      <c r="S35" s="3" t="inlineStr">
        <is>
          <t>Cắm mỗi cốc một bông: 3 bông cắm được 3 cốc, còn 1 cốc chưa có hoa. 4 − 3 = 1.</t>
        </is>
      </c>
      <c r="T35" s="22" t="n">
        <v>95</v>
      </c>
      <c r="U35" s="22">
        <f>INDEX(Khung_cap_do!$H$2:$H$6,F35)</f>
        <v/>
      </c>
      <c r="V35" s="22" t="n">
        <v>1</v>
      </c>
      <c r="W35" s="22" t="n">
        <v>10</v>
      </c>
      <c r="X35" s="3" t="inlineStr">
        <is>
          <t>T1.PT.03</t>
        </is>
      </c>
      <c r="Y35" s="3" t="inlineStr">
        <is>
          <t>TOAN.LOIVAN</t>
        </is>
      </c>
      <c r="Z35" s="3" t="inlineStr">
        <is>
          <t>Bộ mẫu</t>
        </is>
      </c>
      <c r="AA35" s="3" t="inlineStr">
        <is>
          <t>[Điền đáp án] Có 4 chiếc cốc và 3 bông hoa. Còn thiếu mấy bông để mỗi cốc có một bông?
Đáp án: 1 / một
Ghi chú: Bản app chấm theo dạng điền số (chấp nhận "1" hoặc "một").</t>
        </is>
      </c>
      <c r="AB35" s="3" t="inlineStr">
        <is>
          <t>Đã học đếm và quan hệ số lượng tương ứng.</t>
        </is>
      </c>
      <c r="AC35" s="3" t="inlineStr">
        <is>
          <t>Tình huống mở rộng trên kiến thức đã học.</t>
        </is>
      </c>
      <c r="AD35" s="3" t="inlineStr">
        <is>
          <t>Chương trình GDPT 2018 / kế hoạch dạy học của trường; đối chiếu văn bản hiện hành</t>
        </is>
      </c>
      <c r="AE35" s="3" t="inlineStr">
        <is>
          <t>Bản mẫu — cần rà soát</t>
        </is>
      </c>
      <c r="AF35" s="3" t="inlineStr">
        <is>
          <t>Chờ giáo viên duyệt</t>
        </is>
      </c>
      <c r="AG35" s="3" t="n"/>
    </row>
    <row r="36">
      <c r="A36" s="3" t="inlineStr">
        <is>
          <t>EC1-065</t>
        </is>
      </c>
      <c r="B36" s="3" t="inlineStr">
        <is>
          <t>Toán</t>
        </is>
      </c>
      <c r="C36" s="22" t="n">
        <v>1</v>
      </c>
      <c r="D36" s="3" t="inlineStr">
        <is>
          <t>Sau khi học tách, gộp số</t>
        </is>
      </c>
      <c r="E36" s="3" t="inlineStr">
        <is>
          <t>Tách – gộp số</t>
        </is>
      </c>
      <c r="F36" s="23" t="n">
        <v>5</v>
      </c>
      <c r="G36" s="3" t="inlineStr">
        <is>
          <t>Mở rộng</t>
        </is>
      </c>
      <c r="H36" s="22" t="n"/>
      <c r="I36" s="3" t="n"/>
      <c r="J36" s="3" t="inlineStr">
        <is>
          <t>Chọn nhiều đáp án</t>
        </is>
      </c>
      <c r="K36" s="3" t="inlineStr">
        <is>
          <t>Chọn TẤT CẢ cặp số cộng lại bằng 7.</t>
        </is>
      </c>
      <c r="L36" s="3" t="inlineStr">
        <is>
          <t>1 và 6</t>
        </is>
      </c>
      <c r="M36" s="3" t="inlineStr">
        <is>
          <t>2 và 5</t>
        </is>
      </c>
      <c r="N36" s="3" t="inlineStr">
        <is>
          <t>3 và 3</t>
        </is>
      </c>
      <c r="O36" s="3" t="inlineStr">
        <is>
          <t>4 và 3</t>
        </is>
      </c>
      <c r="P36" s="3" t="n"/>
      <c r="Q36" s="3" t="inlineStr">
        <is>
          <t>A, B, D</t>
        </is>
      </c>
      <c r="R36" s="3" t="inlineStr">
        <is>
          <t>1 + 6 = 7; 2 + 5 = 7; 4 + 3 = 7; còn 3 + 3 = 6.</t>
        </is>
      </c>
      <c r="S36" s="3" t="inlineStr">
        <is>
          <t>Cộng từng cặp: 1 + 6 = 7, 2 + 5 = 7, 3 + 3 = 6, 4 + 3 = 7.</t>
        </is>
      </c>
      <c r="T36" s="22" t="n">
        <v>85</v>
      </c>
      <c r="U36" s="22">
        <f>INDEX(Khung_cap_do!$H$2:$H$6,F36)</f>
        <v/>
      </c>
      <c r="V36" s="22" t="n">
        <v>2</v>
      </c>
      <c r="W36" s="22" t="n">
        <v>9</v>
      </c>
      <c r="X36" s="3" t="inlineStr">
        <is>
          <t>T1.PT.02</t>
        </is>
      </c>
      <c r="Y36" s="3" t="inlineStr">
        <is>
          <t>TOAN.TINH</t>
        </is>
      </c>
      <c r="Z36" s="3" t="inlineStr">
        <is>
          <t>Soạn thêm</t>
        </is>
      </c>
      <c r="AA36" s="3" t="inlineStr"/>
      <c r="AB36" s="3" t="inlineStr">
        <is>
          <t>Đã học cộng trong phạm vi 10.</t>
        </is>
      </c>
      <c r="AC36" s="3" t="inlineStr">
        <is>
          <t>Chương trình GDPT 2018 – Toán 1; đối chiếu SGK Kết nối tri thức.</t>
        </is>
      </c>
      <c r="AD36" s="3" t="inlineStr">
        <is>
          <t>EduChain Kids soạn thêm (2026-10); bám chương trình GDPT 2018 và trình tự SGK đã chọn</t>
        </is>
      </c>
      <c r="AE36" s="3" t="inlineStr">
        <is>
          <t>Bản soạn mới — cần rà soát</t>
        </is>
      </c>
      <c r="AF36" s="3" t="inlineStr">
        <is>
          <t>Chờ giáo viên duyệt</t>
        </is>
      </c>
      <c r="AG36" s="3" t="n"/>
    </row>
    <row r="37">
      <c r="A37" s="3" t="inlineStr">
        <is>
          <t>EC1-066</t>
        </is>
      </c>
      <c r="B37" s="3" t="inlineStr">
        <is>
          <t>Toán</t>
        </is>
      </c>
      <c r="C37" s="22" t="n">
        <v>1</v>
      </c>
      <c r="D37" s="3" t="inlineStr">
        <is>
          <t>Sau khi học cộng, trừ trong phạm vi 10</t>
        </is>
      </c>
      <c r="E37" s="3" t="inlineStr">
        <is>
          <t>Lập luận số</t>
        </is>
      </c>
      <c r="F37" s="23" t="n">
        <v>5</v>
      </c>
      <c r="G37" s="3" t="inlineStr">
        <is>
          <t>Mở rộng</t>
        </is>
      </c>
      <c r="H37" s="22" t="n"/>
      <c r="I37" s="3" t="n"/>
      <c r="J37" s="3" t="inlineStr">
        <is>
          <t>Điền đáp án</t>
        </is>
      </c>
      <c r="K37" s="3" t="inlineStr">
        <is>
          <t>Nam nghĩ một số. Lấy số đó cộng 3 thì được 9. Nam nghĩ số mấy?</t>
        </is>
      </c>
      <c r="L37" s="3" t="n"/>
      <c r="M37" s="3" t="n"/>
      <c r="N37" s="3" t="n"/>
      <c r="O37" s="3" t="n"/>
      <c r="P37" s="3" t="n"/>
      <c r="Q37" s="3" t="inlineStr">
        <is>
          <t>6 / sáu</t>
        </is>
      </c>
      <c r="R37" s="3" t="inlineStr">
        <is>
          <t>6 + 3 = 9.</t>
        </is>
      </c>
      <c r="S37" s="3" t="inlineStr">
        <is>
          <t>Ta cần số ... + 3 = 9. Lấy 9 − 3 = 6. Thử lại: 6 + 3 = 9.</t>
        </is>
      </c>
      <c r="T37" s="22" t="n">
        <v>95</v>
      </c>
      <c r="U37" s="22">
        <f>INDEX(Khung_cap_do!$H$2:$H$6,F37)</f>
        <v/>
      </c>
      <c r="V37" s="22" t="n">
        <v>2</v>
      </c>
      <c r="W37" s="22" t="n">
        <v>10</v>
      </c>
      <c r="X37" s="3" t="inlineStr">
        <is>
          <t>T1.PT.02</t>
        </is>
      </c>
      <c r="Y37" s="3" t="inlineStr">
        <is>
          <t>TOAN.SOTHIEU</t>
        </is>
      </c>
      <c r="Z37" s="3" t="inlineStr">
        <is>
          <t>Soạn thêm</t>
        </is>
      </c>
      <c r="AA37" s="3" t="inlineStr"/>
      <c r="AB37" s="3" t="inlineStr">
        <is>
          <t>Đã học quan hệ cộng – trừ.</t>
        </is>
      </c>
      <c r="AC37" s="3" t="inlineStr">
        <is>
          <t>Chương trình GDPT 2018 – Toán 1; đối chiếu SGK Kết nối tri thức.</t>
        </is>
      </c>
      <c r="AD37" s="3" t="inlineStr">
        <is>
          <t>EduChain Kids soạn thêm (2026-10); bám chương trình GDPT 2018 và trình tự SGK đã chọn</t>
        </is>
      </c>
      <c r="AE37" s="3" t="inlineStr">
        <is>
          <t>Bản soạn mới — cần rà soát</t>
        </is>
      </c>
      <c r="AF37" s="3" t="inlineStr">
        <is>
          <t>Chờ giáo viên duyệt</t>
        </is>
      </c>
      <c r="AG37" s="3" t="n"/>
    </row>
    <row r="38">
      <c r="A38" s="3" t="inlineStr">
        <is>
          <t>EC1-067</t>
        </is>
      </c>
      <c r="B38" s="3" t="inlineStr">
        <is>
          <t>Toán</t>
        </is>
      </c>
      <c r="C38" s="22" t="n">
        <v>1</v>
      </c>
      <c r="D38" s="3" t="inlineStr">
        <is>
          <t>Sau khi học vị trí trước – sau</t>
        </is>
      </c>
      <c r="E38" s="3" t="inlineStr">
        <is>
          <t>Vị trí, thứ tự</t>
        </is>
      </c>
      <c r="F38" s="23" t="n">
        <v>5</v>
      </c>
      <c r="G38" s="3" t="inlineStr">
        <is>
          <t>Mở rộng</t>
        </is>
      </c>
      <c r="H38" s="22" t="n"/>
      <c r="I38" s="3" t="n"/>
      <c r="J38" s="3" t="inlineStr">
        <is>
          <t>Chọn đáp án</t>
        </is>
      </c>
      <c r="K38" s="3" t="inlineStr">
        <is>
          <t>Có 6 bạn xếp hàng. Mai đứng thứ 2 tính từ đầu hàng. Sau Mai có mấy bạn?</t>
        </is>
      </c>
      <c r="L38" s="3" t="inlineStr">
        <is>
          <t>3</t>
        </is>
      </c>
      <c r="M38" s="3" t="inlineStr">
        <is>
          <t>4</t>
        </is>
      </c>
      <c r="N38" s="3" t="inlineStr">
        <is>
          <t>5</t>
        </is>
      </c>
      <c r="O38" s="3" t="n"/>
      <c r="P38" s="3" t="n"/>
      <c r="Q38" s="3" t="inlineStr">
        <is>
          <t>B</t>
        </is>
      </c>
      <c r="R38" s="3" t="inlineStr">
        <is>
          <t>Trước Mai có 1 bạn, Mai là 1 bạn: 6 − 2 = 4.</t>
        </is>
      </c>
      <c r="S38" s="3" t="inlineStr">
        <is>
          <t>Tính từ đầu hàng có bạn thứ nhất và Mai là 2 bạn. Còn lại 6 − 2 = 4 bạn đứng sau Mai.</t>
        </is>
      </c>
      <c r="T38" s="22" t="n">
        <v>85</v>
      </c>
      <c r="U38" s="22">
        <f>INDEX(Khung_cap_do!$H$2:$H$6,F38)</f>
        <v/>
      </c>
      <c r="V38" s="22" t="n">
        <v>3</v>
      </c>
      <c r="W38" s="22" t="n">
        <v>9</v>
      </c>
      <c r="X38" s="3" t="inlineStr">
        <is>
          <t>T1.HH.01</t>
        </is>
      </c>
      <c r="Y38" s="3" t="inlineStr">
        <is>
          <t>TOAN.LOIVAN</t>
        </is>
      </c>
      <c r="Z38" s="3" t="inlineStr">
        <is>
          <t>Soạn thêm</t>
        </is>
      </c>
      <c r="AA38" s="3" t="inlineStr"/>
      <c r="AB38" s="3" t="inlineStr">
        <is>
          <t>Đã học trước – sau và trừ trong phạm vi 10.</t>
        </is>
      </c>
      <c r="AC38" s="3" t="inlineStr">
        <is>
          <t>Chương trình GDPT 2018 – Toán 1; đối chiếu SGK Kết nối tri thức.</t>
        </is>
      </c>
      <c r="AD38" s="3" t="inlineStr">
        <is>
          <t>EduChain Kids soạn thêm (2026-10); bám chương trình GDPT 2018 và trình tự SGK đã chọn</t>
        </is>
      </c>
      <c r="AE38" s="3" t="inlineStr">
        <is>
          <t>Bản soạn mới — cần rà soát</t>
        </is>
      </c>
      <c r="AF38" s="3" t="inlineStr">
        <is>
          <t>Chờ giáo viên duyệt</t>
        </is>
      </c>
      <c r="AG38" s="3" t="n"/>
    </row>
    <row r="39">
      <c r="A39" s="3" t="inlineStr">
        <is>
          <t>EC1-068</t>
        </is>
      </c>
      <c r="B39" s="3" t="inlineStr">
        <is>
          <t>Toán</t>
        </is>
      </c>
      <c r="C39" s="22" t="n">
        <v>1</v>
      </c>
      <c r="D39" s="3" t="inlineStr">
        <is>
          <t>Sau khi học cộng, trừ trong phạm vi 10</t>
        </is>
      </c>
      <c r="E39" s="3" t="inlineStr">
        <is>
          <t>Tìm số còn thiếu</t>
        </is>
      </c>
      <c r="F39" s="23" t="n">
        <v>5</v>
      </c>
      <c r="G39" s="3" t="inlineStr">
        <is>
          <t>Mở rộng</t>
        </is>
      </c>
      <c r="H39" s="22" t="n"/>
      <c r="I39" s="3" t="n"/>
      <c r="J39" s="3" t="inlineStr">
        <is>
          <t>Điền đáp án</t>
        </is>
      </c>
      <c r="K39" s="3" t="inlineStr">
        <is>
          <t>Điền số: 10 − ... = 4 + 2</t>
        </is>
      </c>
      <c r="L39" s="3" t="n"/>
      <c r="M39" s="3" t="n"/>
      <c r="N39" s="3" t="n"/>
      <c r="O39" s="3" t="n"/>
      <c r="P39" s="3" t="n"/>
      <c r="Q39" s="3" t="inlineStr">
        <is>
          <t>4 / bốn</t>
        </is>
      </c>
      <c r="R39" s="3" t="inlineStr">
        <is>
          <t>4 + 2 = 6 và 10 − 4 = 6.</t>
        </is>
      </c>
      <c r="S39" s="3" t="inlineStr">
        <is>
          <t>Tính bên phải: 4 + 2 = 6. Cần 10 − ... = 6. Lấy 10 − 6 = 4.</t>
        </is>
      </c>
      <c r="T39" s="22" t="n">
        <v>85</v>
      </c>
      <c r="U39" s="22">
        <f>INDEX(Khung_cap_do!$H$2:$H$6,F39)</f>
        <v/>
      </c>
      <c r="V39" s="22" t="n">
        <v>3</v>
      </c>
      <c r="W39" s="22" t="n">
        <v>10</v>
      </c>
      <c r="X39" s="3" t="inlineStr">
        <is>
          <t>T1.PT.06</t>
        </is>
      </c>
      <c r="Y39" s="3" t="inlineStr">
        <is>
          <t>TOAN.SOTHIEU</t>
        </is>
      </c>
      <c r="Z39" s="3" t="inlineStr">
        <is>
          <t>Soạn thêm</t>
        </is>
      </c>
      <c r="AA39" s="3" t="inlineStr"/>
      <c r="AB39" s="3" t="inlineStr">
        <is>
          <t>Đã học cộng, trừ trong phạm vi 10.</t>
        </is>
      </c>
      <c r="AC39" s="3" t="inlineStr">
        <is>
          <t>Chương trình GDPT 2018 – Toán 1; đối chiếu SGK Kết nối tri thức.</t>
        </is>
      </c>
      <c r="AD39" s="3" t="inlineStr">
        <is>
          <t>EduChain Kids soạn thêm (2026-10); bám chương trình GDPT 2018 và trình tự SGK đã chọn</t>
        </is>
      </c>
      <c r="AE39" s="3" t="inlineStr">
        <is>
          <t>Bản soạn mới — cần rà soát</t>
        </is>
      </c>
      <c r="AF39" s="3" t="inlineStr">
        <is>
          <t>Chờ giáo viên duyệt</t>
        </is>
      </c>
      <c r="AG39" s="3" t="n"/>
    </row>
    <row r="40">
      <c r="A40" s="3" t="inlineStr">
        <is>
          <t>EC1-069</t>
        </is>
      </c>
      <c r="B40" s="3" t="inlineStr">
        <is>
          <t>Toán</t>
        </is>
      </c>
      <c r="C40" s="22" t="n">
        <v>1</v>
      </c>
      <c r="D40" s="3" t="inlineStr">
        <is>
          <t>Sau khi học cộng, trừ và so sánh số</t>
        </is>
      </c>
      <c r="E40" s="3" t="inlineStr">
        <is>
          <t>Tính rồi so sánh</t>
        </is>
      </c>
      <c r="F40" s="23" t="n">
        <v>5</v>
      </c>
      <c r="G40" s="3" t="inlineStr">
        <is>
          <t>Mở rộng</t>
        </is>
      </c>
      <c r="H40" s="22" t="n"/>
      <c r="I40" s="3" t="n"/>
      <c r="J40" s="3" t="inlineStr">
        <is>
          <t>Sắp xếp</t>
        </is>
      </c>
      <c r="K40" s="3" t="inlineStr">
        <is>
          <t>Xếp các phép tính theo kết quả từ bé đến lớn.
(Các mục: 1 + 2 / 3 + 2 / 5 − 4 / 9 − 1)</t>
        </is>
      </c>
      <c r="L40" s="3" t="n"/>
      <c r="M40" s="3" t="n"/>
      <c r="N40" s="3" t="n"/>
      <c r="O40" s="3" t="n"/>
      <c r="P40" s="3" t="n"/>
      <c r="Q40" s="3" t="inlineStr">
        <is>
          <t>5 − 4 → 1 + 2 → 3 + 2 → 9 − 1</t>
        </is>
      </c>
      <c r="R40" s="3" t="inlineStr">
        <is>
          <t>Kết quả lần lượt 1, 3, 5, 8.</t>
        </is>
      </c>
      <c r="S40" s="3" t="inlineStr">
        <is>
          <t>Tính trước: 5 − 4 = 1; 1 + 2 = 3; 3 + 2 = 5; 9 − 1 = 8. Xếp 1, 3, 5, 8.</t>
        </is>
      </c>
      <c r="T40" s="22" t="n">
        <v>90</v>
      </c>
      <c r="U40" s="22">
        <f>INDEX(Khung_cap_do!$H$2:$H$6,F40)</f>
        <v/>
      </c>
      <c r="V40" s="22" t="n">
        <v>4</v>
      </c>
      <c r="W40" s="22" t="n">
        <v>9</v>
      </c>
      <c r="X40" s="3" t="inlineStr">
        <is>
          <t>T1.SO.02</t>
        </is>
      </c>
      <c r="Y40" s="3" t="inlineStr">
        <is>
          <t>TOAN.SAPXEP</t>
        </is>
      </c>
      <c r="Z40" s="3" t="inlineStr">
        <is>
          <t>Soạn thêm</t>
        </is>
      </c>
      <c r="AA40" s="3" t="inlineStr"/>
      <c r="AB40" s="3" t="inlineStr">
        <is>
          <t>Đã học cộng, trừ, so sánh trong phạm vi 10.</t>
        </is>
      </c>
      <c r="AC40" s="3" t="inlineStr">
        <is>
          <t>Chương trình GDPT 2018 – Toán 1; đối chiếu SGK Kết nối tri thức.</t>
        </is>
      </c>
      <c r="AD40" s="3" t="inlineStr">
        <is>
          <t>EduChain Kids soạn thêm (2026-10); bám chương trình GDPT 2018 và trình tự SGK đã chọn</t>
        </is>
      </c>
      <c r="AE40" s="3" t="inlineStr">
        <is>
          <t>Bản soạn mới — cần rà soát</t>
        </is>
      </c>
      <c r="AF40" s="3" t="inlineStr">
        <is>
          <t>Chờ giáo viên duyệt</t>
        </is>
      </c>
      <c r="AG40" s="3" t="n"/>
    </row>
    <row r="41">
      <c r="A41" s="3" t="inlineStr">
        <is>
          <t>EC1-070</t>
        </is>
      </c>
      <c r="B41" s="3" t="inlineStr">
        <is>
          <t>Toán</t>
        </is>
      </c>
      <c r="C41" s="22" t="n">
        <v>1</v>
      </c>
      <c r="D41" s="3" t="inlineStr">
        <is>
          <t>Sau khi học tính có hai dấu phép tính</t>
        </is>
      </c>
      <c r="E41" s="3" t="inlineStr">
        <is>
          <t>Giải quyết vấn đề</t>
        </is>
      </c>
      <c r="F41" s="23" t="n">
        <v>5</v>
      </c>
      <c r="G41" s="3" t="inlineStr">
        <is>
          <t>Mở rộng</t>
        </is>
      </c>
      <c r="H41" s="22" t="n"/>
      <c r="I41" s="3" t="n"/>
      <c r="J41" s="3" t="inlineStr">
        <is>
          <t>Đúng / Sai</t>
        </is>
      </c>
      <c r="K41" s="3" t="inlineStr">
        <is>
          <t>Một con gà có 2 chân. 3 con gà có tất cả 6 chân.</t>
        </is>
      </c>
      <c r="L41" s="3" t="inlineStr">
        <is>
          <t>Đúng</t>
        </is>
      </c>
      <c r="M41" s="3" t="inlineStr">
        <is>
          <t>Sai</t>
        </is>
      </c>
      <c r="N41" s="3" t="n"/>
      <c r="O41" s="3" t="n"/>
      <c r="P41" s="3" t="n"/>
      <c r="Q41" s="3" t="inlineStr">
        <is>
          <t>A</t>
        </is>
      </c>
      <c r="R41" s="3" t="inlineStr">
        <is>
          <t>2 + 2 + 2 = 6.</t>
        </is>
      </c>
      <c r="S41" s="3" t="inlineStr">
        <is>
          <t>Mỗi con 2 chân, 3 con: 2 + 2 + 2 = 6 chân. Câu đúng.</t>
        </is>
      </c>
      <c r="T41" s="22" t="n">
        <v>75</v>
      </c>
      <c r="U41" s="22">
        <f>INDEX(Khung_cap_do!$H$2:$H$6,F41)</f>
        <v/>
      </c>
      <c r="V41" s="22" t="n">
        <v>4</v>
      </c>
      <c r="W41" s="22" t="n">
        <v>10</v>
      </c>
      <c r="X41" s="3" t="inlineStr">
        <is>
          <t>T1.PT.03</t>
        </is>
      </c>
      <c r="Y41" s="3" t="inlineStr">
        <is>
          <t>TOAN.DUNGSAI</t>
        </is>
      </c>
      <c r="Z41" s="3" t="inlineStr">
        <is>
          <t>Soạn thêm</t>
        </is>
      </c>
      <c r="AA41" s="3" t="inlineStr"/>
      <c r="AB41" s="3" t="inlineStr">
        <is>
          <t>Đã làm quen phép tính có hai dấu.</t>
        </is>
      </c>
      <c r="AC41" s="3" t="inlineStr">
        <is>
          <t>Chương trình GDPT 2018 – Toán 1; đối chiếu SGK Kết nối tri thức.</t>
        </is>
      </c>
      <c r="AD41" s="3" t="inlineStr">
        <is>
          <t>EduChain Kids soạn thêm (2026-10); bám chương trình GDPT 2018 và trình tự SGK đã chọn</t>
        </is>
      </c>
      <c r="AE41" s="3" t="inlineStr">
        <is>
          <t>Bản soạn mới — cần rà soát</t>
        </is>
      </c>
      <c r="AF41" s="3" t="inlineStr">
        <is>
          <t>Chờ giáo viên duyệt</t>
        </is>
      </c>
      <c r="AG41" s="3" t="n"/>
    </row>
  </sheetData>
  <conditionalFormatting sqref="A2:AG41">
    <cfRule type="expression" priority="1" dxfId="0">
      <formula>$F2=1</formula>
    </cfRule>
    <cfRule type="expression" priority="2" dxfId="1">
      <formula>$F2=2</formula>
    </cfRule>
    <cfRule type="expression" priority="3" dxfId="2">
      <formula>$F2=3</formula>
    </cfRule>
    <cfRule type="expression" priority="4" dxfId="3">
      <formula>$F2=4</formula>
    </cfRule>
    <cfRule type="expression" priority="5" dxfId="4">
      <formula>$F2=5</formula>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G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6" customWidth="1" min="3" max="3"/>
    <col width="24" customWidth="1" min="4" max="4"/>
    <col width="20" customWidth="1" min="5" max="5"/>
    <col width="8" customWidth="1" min="6" max="6"/>
    <col width="12" customWidth="1" min="7" max="7"/>
    <col width="10" customWidth="1" min="8" max="8"/>
    <col width="30" customWidth="1" min="9" max="9"/>
    <col width="14" customWidth="1" min="10" max="10"/>
    <col width="46" customWidth="1" min="11" max="11"/>
    <col width="16" customWidth="1" min="12" max="12"/>
    <col width="16" customWidth="1" min="13" max="13"/>
    <col width="16" customWidth="1" min="14" max="14"/>
    <col width="16" customWidth="1" min="15" max="15"/>
    <col width="12" customWidth="1" min="16" max="16"/>
    <col width="22" customWidth="1" min="17" max="17"/>
    <col width="36" customWidth="1" min="18" max="18"/>
    <col width="40" customWidth="1" min="19" max="19"/>
    <col width="10" customWidth="1" min="20" max="20"/>
    <col width="9" customWidth="1" min="21" max="21"/>
    <col width="7" customWidth="1" min="22" max="22"/>
    <col width="8" customWidth="1" min="23" max="23"/>
    <col width="12" customWidth="1" min="24" max="24"/>
    <col width="14" customWidth="1" min="25" max="25"/>
    <col width="11" customWidth="1" min="26" max="26"/>
    <col width="40" customWidth="1" min="27" max="27"/>
    <col width="32" customWidth="1" min="28" max="28"/>
    <col width="36" customWidth="1" min="29" max="29"/>
    <col width="30" customWidth="1" min="30" max="30"/>
    <col width="20" customWidth="1" min="31" max="31"/>
    <col width="18" customWidth="1" min="32" max="32"/>
    <col width="30" customWidth="1" min="33" max="33"/>
  </cols>
  <sheetData>
    <row r="1" ht="34" customHeight="1">
      <c r="A1" s="1" t="inlineStr">
        <is>
          <t>ID</t>
        </is>
      </c>
      <c r="B1" s="1" t="inlineStr">
        <is>
          <t>Môn học</t>
        </is>
      </c>
      <c r="C1" s="1" t="inlineStr">
        <is>
          <t>Lớp</t>
        </is>
      </c>
      <c r="D1" s="1" t="inlineStr">
        <is>
          <t>Giai đoạn gợi ý</t>
        </is>
      </c>
      <c r="E1" s="1" t="inlineStr">
        <is>
          <t>Chủ đề / kỹ năng</t>
        </is>
      </c>
      <c r="F1" s="1" t="inlineStr">
        <is>
          <t>Cấp độ</t>
        </is>
      </c>
      <c r="G1" s="1" t="inlineStr">
        <is>
          <t>Tên cấp độ</t>
        </is>
      </c>
      <c r="H1" s="1" t="inlineStr">
        <is>
          <t>Cấp độ cũ (bộ mẫu)</t>
        </is>
      </c>
      <c r="I1" s="1" t="inlineStr">
        <is>
          <t>Lý do điều chỉnh cấp độ</t>
        </is>
      </c>
      <c r="J1" s="1" t="inlineStr">
        <is>
          <t>Loại câu hỏi</t>
        </is>
      </c>
      <c r="K1" s="1" t="inlineStr">
        <is>
          <t>Câu hỏi / nhiệm vụ</t>
        </is>
      </c>
      <c r="L1" s="1" t="inlineStr">
        <is>
          <t>Lựa chọn A</t>
        </is>
      </c>
      <c r="M1" s="1" t="inlineStr">
        <is>
          <t>Lựa chọn B</t>
        </is>
      </c>
      <c r="N1" s="1" t="inlineStr">
        <is>
          <t>Lựa chọn C</t>
        </is>
      </c>
      <c r="O1" s="1" t="inlineStr">
        <is>
          <t>Lựa chọn D</t>
        </is>
      </c>
      <c r="P1" s="1" t="inlineStr">
        <is>
          <t>Lựa chọn E</t>
        </is>
      </c>
      <c r="Q1" s="1" t="inlineStr">
        <is>
          <t>Đáp án đúng</t>
        </is>
      </c>
      <c r="R1" s="1" t="inlineStr">
        <is>
          <t>Lời giải / phản hồi</t>
        </is>
      </c>
      <c r="S1" s="1" t="inlineStr">
        <is>
          <t>Lời giải chi tiết</t>
        </is>
      </c>
      <c r="T1" s="1" t="inlineStr">
        <is>
          <t>Thời gian (giây)</t>
        </is>
      </c>
      <c r="U1" s="1" t="inlineStr">
        <is>
          <t>Điểm khi đúng</t>
        </is>
      </c>
      <c r="V1" s="1" t="inlineStr">
        <is>
          <t>Đề ôn</t>
        </is>
      </c>
      <c r="W1" s="1" t="inlineStr">
        <is>
          <t>Thứ tự trong đề</t>
        </is>
      </c>
      <c r="X1" s="1" t="inlineStr">
        <is>
          <t>Mã YCCĐ</t>
        </is>
      </c>
      <c r="Y1" s="1" t="inlineStr">
        <is>
          <t>Mã dạng bài</t>
        </is>
      </c>
      <c r="Z1" s="1" t="inlineStr">
        <is>
          <t>Nguồn câu</t>
        </is>
      </c>
      <c r="AA1" s="1" t="inlineStr">
        <is>
          <t>Bản dùng trong app (nếu khác câu gốc)</t>
        </is>
      </c>
      <c r="AB1" s="1" t="inlineStr">
        <is>
          <t>Điều kiện tiên quyết</t>
        </is>
      </c>
      <c r="AC1" s="1" t="inlineStr">
        <is>
          <t>Căn cứ chương trình / lưu ý đối chiếu</t>
        </is>
      </c>
      <c r="AD1" s="1" t="inlineStr">
        <is>
          <t>Nguồn / phạm vi</t>
        </is>
      </c>
      <c r="AE1" s="1" t="inlineStr">
        <is>
          <t>Trạng thái nội dung</t>
        </is>
      </c>
      <c r="AF1" s="1" t="inlineStr">
        <is>
          <t>Trạng thái giáo viên</t>
        </is>
      </c>
      <c r="AG1" s="1" t="inlineStr">
        <is>
          <t>Ghi chú kiểm duyệt</t>
        </is>
      </c>
    </row>
    <row r="2">
      <c r="A2" s="3" t="inlineStr">
        <is>
          <t>EC1-016</t>
        </is>
      </c>
      <c r="B2" s="3" t="inlineStr">
        <is>
          <t>Tiếng Việt</t>
        </is>
      </c>
      <c r="C2" s="22" t="n">
        <v>1</v>
      </c>
      <c r="D2" s="3" t="inlineStr">
        <is>
          <t>Sau khi học chữ tương ứng</t>
        </is>
      </c>
      <c r="E2" s="3" t="inlineStr">
        <is>
          <t>Nhận diện chữ</t>
        </is>
      </c>
      <c r="F2" s="23" t="n">
        <v>1</v>
      </c>
      <c r="G2" s="3" t="inlineStr">
        <is>
          <t>Làm quen</t>
        </is>
      </c>
      <c r="H2" s="22" t="n"/>
      <c r="I2" s="3" t="n"/>
      <c r="J2" s="3" t="inlineStr">
        <is>
          <t>Chọn đáp án</t>
        </is>
      </c>
      <c r="K2" s="3" t="inlineStr">
        <is>
          <t>Chọn chữ a.</t>
        </is>
      </c>
      <c r="L2" s="3" t="inlineStr">
        <is>
          <t>a</t>
        </is>
      </c>
      <c r="M2" s="3" t="inlineStr">
        <is>
          <t>o</t>
        </is>
      </c>
      <c r="N2" s="3" t="inlineStr">
        <is>
          <t>e</t>
        </is>
      </c>
      <c r="O2" s="3" t="n"/>
      <c r="P2" s="3" t="n"/>
      <c r="Q2" s="3" t="inlineStr">
        <is>
          <t>A</t>
        </is>
      </c>
      <c r="R2" s="3" t="inlineStr">
        <is>
          <t>Chữ cần tìm là a.</t>
        </is>
      </c>
      <c r="S2" s="3" t="n"/>
      <c r="T2" s="22" t="n">
        <v>30</v>
      </c>
      <c r="U2" s="22">
        <f>INDEX(Khung_cap_do!$H$2:$H$6,F2)</f>
        <v/>
      </c>
      <c r="V2" s="22" t="n">
        <v>1</v>
      </c>
      <c r="W2" s="22" t="n">
        <v>1</v>
      </c>
      <c r="X2" s="3" t="inlineStr">
        <is>
          <t>V1.AM.01</t>
        </is>
      </c>
      <c r="Y2" s="3" t="inlineStr">
        <is>
          <t>TV.AMCHU</t>
        </is>
      </c>
      <c r="Z2" s="3" t="inlineStr">
        <is>
          <t>Bộ mẫu</t>
        </is>
      </c>
      <c r="AA2" s="3" t="inlineStr"/>
      <c r="AB2" s="3" t="inlineStr">
        <is>
          <t>Chữ a đã được dạy.</t>
        </is>
      </c>
      <c r="AC2" s="3" t="inlineStr">
        <is>
          <t>Gắn với tiến trình âm/chữ thực tế.</t>
        </is>
      </c>
      <c r="AD2" s="3" t="inlineStr">
        <is>
          <t>Chương trình GDPT 2018 / kế hoạch dạy học của trường; đối chiếu văn bản hiện hành</t>
        </is>
      </c>
      <c r="AE2" s="3" t="inlineStr">
        <is>
          <t>Bản mẫu — cần rà soát</t>
        </is>
      </c>
      <c r="AF2" s="3" t="inlineStr">
        <is>
          <t>Chờ giáo viên duyệt</t>
        </is>
      </c>
      <c r="AG2" s="3" t="n"/>
    </row>
    <row r="3">
      <c r="A3" s="3" t="inlineStr">
        <is>
          <t>EC1-017</t>
        </is>
      </c>
      <c r="B3" s="3" t="inlineStr">
        <is>
          <t>Tiếng Việt</t>
        </is>
      </c>
      <c r="C3" s="22" t="n">
        <v>1</v>
      </c>
      <c r="D3" s="3" t="inlineStr">
        <is>
          <t>Sau khi học chữ tương ứng</t>
        </is>
      </c>
      <c r="E3" s="3" t="inlineStr">
        <is>
          <t>Chữ đầu từ</t>
        </is>
      </c>
      <c r="F3" s="23" t="n">
        <v>1</v>
      </c>
      <c r="G3" s="3" t="inlineStr">
        <is>
          <t>Làm quen</t>
        </is>
      </c>
      <c r="H3" s="22" t="n"/>
      <c r="I3" s="3" t="n"/>
      <c r="J3" s="3" t="inlineStr">
        <is>
          <t>Chọn đáp án</t>
        </is>
      </c>
      <c r="K3" s="3" t="inlineStr">
        <is>
          <t>Từ nào bắt đầu bằng chữ b?</t>
        </is>
      </c>
      <c r="L3" s="3" t="inlineStr">
        <is>
          <t>bò</t>
        </is>
      </c>
      <c r="M3" s="3" t="inlineStr">
        <is>
          <t>cá</t>
        </is>
      </c>
      <c r="N3" s="3" t="inlineStr">
        <is>
          <t>gà</t>
        </is>
      </c>
      <c r="O3" s="3" t="n"/>
      <c r="P3" s="3" t="n"/>
      <c r="Q3" s="3" t="inlineStr">
        <is>
          <t>A</t>
        </is>
      </c>
      <c r="R3" s="3" t="inlineStr">
        <is>
          <t>“Bò” bắt đầu bằng chữ b.</t>
        </is>
      </c>
      <c r="S3" s="3" t="n"/>
      <c r="T3" s="22" t="n">
        <v>30</v>
      </c>
      <c r="U3" s="22">
        <f>INDEX(Khung_cap_do!$H$2:$H$6,F3)</f>
        <v/>
      </c>
      <c r="V3" s="22" t="n">
        <v>1</v>
      </c>
      <c r="W3" s="22" t="n">
        <v>2</v>
      </c>
      <c r="X3" s="3" t="inlineStr">
        <is>
          <t>V1.AM.01</t>
        </is>
      </c>
      <c r="Y3" s="3" t="inlineStr">
        <is>
          <t>TV.AMCHU</t>
        </is>
      </c>
      <c r="Z3" s="3" t="inlineStr">
        <is>
          <t>Bộ mẫu</t>
        </is>
      </c>
      <c r="AA3" s="3" t="inlineStr"/>
      <c r="AB3" s="3" t="inlineStr">
        <is>
          <t>Chữ b và các từ lựa chọn đã được học.</t>
        </is>
      </c>
      <c r="AC3" s="3" t="inlineStr">
        <is>
          <t>Rà soát từ vựng theo SGK.</t>
        </is>
      </c>
      <c r="AD3" s="3" t="inlineStr">
        <is>
          <t>Chương trình GDPT 2018 / kế hoạch dạy học của trường; đối chiếu văn bản hiện hành</t>
        </is>
      </c>
      <c r="AE3" s="3" t="inlineStr">
        <is>
          <t>Bản mẫu — cần rà soát</t>
        </is>
      </c>
      <c r="AF3" s="3" t="inlineStr">
        <is>
          <t>Chờ giáo viên duyệt</t>
        </is>
      </c>
      <c r="AG3" s="3" t="n"/>
    </row>
    <row r="4">
      <c r="A4" s="3" t="inlineStr">
        <is>
          <t>EC1-018</t>
        </is>
      </c>
      <c r="B4" s="3" t="inlineStr">
        <is>
          <t>Tiếng Việt</t>
        </is>
      </c>
      <c r="C4" s="22" t="n">
        <v>1</v>
      </c>
      <c r="D4" s="3" t="inlineStr">
        <is>
          <t>Sau khi học dấu sắc</t>
        </is>
      </c>
      <c r="E4" s="3" t="inlineStr">
        <is>
          <t>Thanh điệu</t>
        </is>
      </c>
      <c r="F4" s="23" t="n">
        <v>1</v>
      </c>
      <c r="G4" s="3" t="inlineStr">
        <is>
          <t>Làm quen</t>
        </is>
      </c>
      <c r="H4" s="22" t="n"/>
      <c r="I4" s="3" t="n"/>
      <c r="J4" s="3" t="inlineStr">
        <is>
          <t>Chọn đáp án</t>
        </is>
      </c>
      <c r="K4" s="3" t="inlineStr">
        <is>
          <t>Chọn tiếng có dấu sắc.</t>
        </is>
      </c>
      <c r="L4" s="3" t="inlineStr">
        <is>
          <t>bé</t>
        </is>
      </c>
      <c r="M4" s="3" t="inlineStr">
        <is>
          <t>ba</t>
        </is>
      </c>
      <c r="N4" s="3" t="inlineStr">
        <is>
          <t>bà</t>
        </is>
      </c>
      <c r="O4" s="3" t="n"/>
      <c r="P4" s="3" t="n"/>
      <c r="Q4" s="3" t="inlineStr">
        <is>
          <t>A</t>
        </is>
      </c>
      <c r="R4" s="3" t="inlineStr">
        <is>
          <t>“Bé” mang dấu sắc.</t>
        </is>
      </c>
      <c r="S4" s="3" t="n"/>
      <c r="T4" s="22" t="n">
        <v>30</v>
      </c>
      <c r="U4" s="22">
        <f>INDEX(Khung_cap_do!$H$2:$H$6,F4)</f>
        <v/>
      </c>
      <c r="V4" s="22" t="n">
        <v>2</v>
      </c>
      <c r="W4" s="22" t="n">
        <v>1</v>
      </c>
      <c r="X4" s="3" t="inlineStr">
        <is>
          <t>V1.AM.02</t>
        </is>
      </c>
      <c r="Y4" s="3" t="inlineStr">
        <is>
          <t>TV.DAUTHANH</t>
        </is>
      </c>
      <c r="Z4" s="3" t="inlineStr">
        <is>
          <t>Bộ mẫu</t>
        </is>
      </c>
      <c r="AA4" s="3" t="inlineStr"/>
      <c r="AB4" s="3" t="inlineStr">
        <is>
          <t>Đã học dấu sắc và các tiếng so sánh.</t>
        </is>
      </c>
      <c r="AC4" s="3" t="inlineStr">
        <is>
          <t>Chỉ dùng sau khi học dấu sắc.</t>
        </is>
      </c>
      <c r="AD4" s="3" t="inlineStr">
        <is>
          <t>Chương trình GDPT 2018 / kế hoạch dạy học của trường; đối chiếu văn bản hiện hành</t>
        </is>
      </c>
      <c r="AE4" s="3" t="inlineStr">
        <is>
          <t>Bản mẫu — cần rà soát</t>
        </is>
      </c>
      <c r="AF4" s="3" t="inlineStr">
        <is>
          <t>Chờ giáo viên duyệt</t>
        </is>
      </c>
      <c r="AG4" s="3" t="n"/>
    </row>
    <row r="5">
      <c r="A5" s="3" t="inlineStr">
        <is>
          <t>EC1-071</t>
        </is>
      </c>
      <c r="B5" s="3" t="inlineStr">
        <is>
          <t>Tiếng Việt</t>
        </is>
      </c>
      <c r="C5" s="22" t="n">
        <v>1</v>
      </c>
      <c r="D5" s="3" t="inlineStr">
        <is>
          <t>Sau khi học chữ m</t>
        </is>
      </c>
      <c r="E5" s="3" t="inlineStr">
        <is>
          <t>Nhận diện chữ</t>
        </is>
      </c>
      <c r="F5" s="23" t="n">
        <v>1</v>
      </c>
      <c r="G5" s="3" t="inlineStr">
        <is>
          <t>Làm quen</t>
        </is>
      </c>
      <c r="H5" s="22" t="n"/>
      <c r="I5" s="3" t="n"/>
      <c r="J5" s="3" t="inlineStr">
        <is>
          <t>Chọn đáp án</t>
        </is>
      </c>
      <c r="K5" s="3" t="inlineStr">
        <is>
          <t>Chọn chữ m.</t>
        </is>
      </c>
      <c r="L5" s="3" t="inlineStr">
        <is>
          <t>m</t>
        </is>
      </c>
      <c r="M5" s="3" t="inlineStr">
        <is>
          <t>n</t>
        </is>
      </c>
      <c r="N5" s="3" t="inlineStr">
        <is>
          <t>h</t>
        </is>
      </c>
      <c r="O5" s="3" t="n"/>
      <c r="P5" s="3" t="n"/>
      <c r="Q5" s="3" t="inlineStr">
        <is>
          <t>A</t>
        </is>
      </c>
      <c r="R5" s="3" t="inlineStr">
        <is>
          <t>Chữ cần tìm là m.</t>
        </is>
      </c>
      <c r="S5" s="3" t="n"/>
      <c r="T5" s="22" t="n">
        <v>30</v>
      </c>
      <c r="U5" s="22">
        <f>INDEX(Khung_cap_do!$H$2:$H$6,F5)</f>
        <v/>
      </c>
      <c r="V5" s="22" t="n">
        <v>2</v>
      </c>
      <c r="W5" s="22" t="n">
        <v>2</v>
      </c>
      <c r="X5" s="3" t="inlineStr">
        <is>
          <t>V1.AM.01</t>
        </is>
      </c>
      <c r="Y5" s="3" t="inlineStr">
        <is>
          <t>TV.AMCHU</t>
        </is>
      </c>
      <c r="Z5" s="3" t="inlineStr">
        <is>
          <t>Soạn thêm</t>
        </is>
      </c>
      <c r="AA5" s="3" t="inlineStr"/>
      <c r="AB5" s="3" t="inlineStr">
        <is>
          <t>Đã học chữ m, n, h.</t>
        </is>
      </c>
      <c r="AC5" s="3" t="inlineStr">
        <is>
          <t>Chương trình GDPT 2018 – Tiếng Việt 1; đối chiếu SGK Kết nối tri thức (Tập 1).</t>
        </is>
      </c>
      <c r="AD5" s="3" t="inlineStr">
        <is>
          <t>EduChain Kids soạn thêm (2026-10); bám chương trình GDPT 2018 và trình tự SGK đã chọn</t>
        </is>
      </c>
      <c r="AE5" s="3" t="inlineStr">
        <is>
          <t>Bản soạn mới — cần rà soát</t>
        </is>
      </c>
      <c r="AF5" s="3" t="inlineStr">
        <is>
          <t>Chờ giáo viên duyệt</t>
        </is>
      </c>
      <c r="AG5" s="3" t="n"/>
    </row>
    <row r="6">
      <c r="A6" s="3" t="inlineStr">
        <is>
          <t>EC1-072</t>
        </is>
      </c>
      <c r="B6" s="3" t="inlineStr">
        <is>
          <t>Tiếng Việt</t>
        </is>
      </c>
      <c r="C6" s="22" t="n">
        <v>1</v>
      </c>
      <c r="D6" s="3" t="inlineStr">
        <is>
          <t>Sau khi học chữ c</t>
        </is>
      </c>
      <c r="E6" s="3" t="inlineStr">
        <is>
          <t>Chữ đầu tiếng</t>
        </is>
      </c>
      <c r="F6" s="23" t="n">
        <v>1</v>
      </c>
      <c r="G6" s="3" t="inlineStr">
        <is>
          <t>Làm quen</t>
        </is>
      </c>
      <c r="H6" s="22" t="n"/>
      <c r="I6" s="3" t="n"/>
      <c r="J6" s="3" t="inlineStr">
        <is>
          <t>Chọn đáp án</t>
        </is>
      </c>
      <c r="K6" s="3" t="inlineStr">
        <is>
          <t>Tiếng "cá" bắt đầu bằng chữ nào?</t>
        </is>
      </c>
      <c r="L6" s="3" t="inlineStr">
        <is>
          <t>c</t>
        </is>
      </c>
      <c r="M6" s="3" t="inlineStr">
        <is>
          <t>a</t>
        </is>
      </c>
      <c r="N6" s="3" t="inlineStr">
        <is>
          <t>k</t>
        </is>
      </c>
      <c r="O6" s="3" t="n"/>
      <c r="P6" s="3" t="n"/>
      <c r="Q6" s="3" t="inlineStr">
        <is>
          <t>A</t>
        </is>
      </c>
      <c r="R6" s="3" t="inlineStr">
        <is>
          <t>"Cá" gồm c và a, dấu sắc.</t>
        </is>
      </c>
      <c r="S6" s="3" t="n"/>
      <c r="T6" s="22" t="n">
        <v>30</v>
      </c>
      <c r="U6" s="22">
        <f>INDEX(Khung_cap_do!$H$2:$H$6,F6)</f>
        <v/>
      </c>
      <c r="V6" s="22" t="n">
        <v>3</v>
      </c>
      <c r="W6" s="22" t="n">
        <v>1</v>
      </c>
      <c r="X6" s="3" t="inlineStr">
        <is>
          <t>V1.AM.01</t>
        </is>
      </c>
      <c r="Y6" s="3" t="inlineStr">
        <is>
          <t>TV.AMCHU</t>
        </is>
      </c>
      <c r="Z6" s="3" t="inlineStr">
        <is>
          <t>Soạn thêm</t>
        </is>
      </c>
      <c r="AA6" s="3" t="inlineStr"/>
      <c r="AB6" s="3" t="inlineStr">
        <is>
          <t>Đã học c, a và dấu sắc.</t>
        </is>
      </c>
      <c r="AC6" s="3" t="inlineStr">
        <is>
          <t>Chương trình GDPT 2018 – Tiếng Việt 1; đối chiếu SGK Kết nối tri thức (Tập 1).</t>
        </is>
      </c>
      <c r="AD6" s="3" t="inlineStr">
        <is>
          <t>EduChain Kids soạn thêm (2026-10); bám chương trình GDPT 2018 và trình tự SGK đã chọn</t>
        </is>
      </c>
      <c r="AE6" s="3" t="inlineStr">
        <is>
          <t>Bản soạn mới — cần rà soát</t>
        </is>
      </c>
      <c r="AF6" s="3" t="inlineStr">
        <is>
          <t>Chờ giáo viên duyệt</t>
        </is>
      </c>
      <c r="AG6" s="3" t="n"/>
    </row>
    <row r="7">
      <c r="A7" s="3" t="inlineStr">
        <is>
          <t>EC1-073</t>
        </is>
      </c>
      <c r="B7" s="3" t="inlineStr">
        <is>
          <t>Tiếng Việt</t>
        </is>
      </c>
      <c r="C7" s="22" t="n">
        <v>1</v>
      </c>
      <c r="D7" s="3" t="inlineStr">
        <is>
          <t>Sau khi học dấu huyền</t>
        </is>
      </c>
      <c r="E7" s="3" t="inlineStr">
        <is>
          <t>Thanh điệu</t>
        </is>
      </c>
      <c r="F7" s="23" t="n">
        <v>1</v>
      </c>
      <c r="G7" s="3" t="inlineStr">
        <is>
          <t>Làm quen</t>
        </is>
      </c>
      <c r="H7" s="22" t="n"/>
      <c r="I7" s="3" t="n"/>
      <c r="J7" s="3" t="inlineStr">
        <is>
          <t>Chọn đáp án</t>
        </is>
      </c>
      <c r="K7" s="3" t="inlineStr">
        <is>
          <t>Chọn tiếng có dấu huyền.</t>
        </is>
      </c>
      <c r="L7" s="3" t="inlineStr">
        <is>
          <t>bà</t>
        </is>
      </c>
      <c r="M7" s="3" t="inlineStr">
        <is>
          <t>bá</t>
        </is>
      </c>
      <c r="N7" s="3" t="inlineStr">
        <is>
          <t>bạ</t>
        </is>
      </c>
      <c r="O7" s="3" t="n"/>
      <c r="P7" s="3" t="n"/>
      <c r="Q7" s="3" t="inlineStr">
        <is>
          <t>A</t>
        </is>
      </c>
      <c r="R7" s="3" t="inlineStr">
        <is>
          <t>"Bà" mang dấu huyền.</t>
        </is>
      </c>
      <c r="S7" s="3" t="n"/>
      <c r="T7" s="22" t="n">
        <v>30</v>
      </c>
      <c r="U7" s="22">
        <f>INDEX(Khung_cap_do!$H$2:$H$6,F7)</f>
        <v/>
      </c>
      <c r="V7" s="22" t="n">
        <v>3</v>
      </c>
      <c r="W7" s="22" t="n">
        <v>2</v>
      </c>
      <c r="X7" s="3" t="inlineStr">
        <is>
          <t>V1.AM.02</t>
        </is>
      </c>
      <c r="Y7" s="3" t="inlineStr">
        <is>
          <t>TV.DAUTHANH</t>
        </is>
      </c>
      <c r="Z7" s="3" t="inlineStr">
        <is>
          <t>Soạn thêm</t>
        </is>
      </c>
      <c r="AA7" s="3" t="inlineStr"/>
      <c r="AB7" s="3" t="inlineStr">
        <is>
          <t>Đã học dấu huyền, sắc, nặng.</t>
        </is>
      </c>
      <c r="AC7" s="3" t="inlineStr">
        <is>
          <t>Chương trình GDPT 2018 – Tiếng Việt 1; đối chiếu SGK Kết nối tri thức (Tập 1).</t>
        </is>
      </c>
      <c r="AD7" s="3" t="inlineStr">
        <is>
          <t>EduChain Kids soạn thêm (2026-10); bám chương trình GDPT 2018 và trình tự SGK đã chọn</t>
        </is>
      </c>
      <c r="AE7" s="3" t="inlineStr">
        <is>
          <t>Bản soạn mới — cần rà soát</t>
        </is>
      </c>
      <c r="AF7" s="3" t="inlineStr">
        <is>
          <t>Chờ giáo viên duyệt</t>
        </is>
      </c>
      <c r="AG7" s="3" t="n"/>
    </row>
    <row r="8">
      <c r="A8" s="3" t="inlineStr">
        <is>
          <t>EC1-074</t>
        </is>
      </c>
      <c r="B8" s="3" t="inlineStr">
        <is>
          <t>Tiếng Việt</t>
        </is>
      </c>
      <c r="C8" s="22" t="n">
        <v>1</v>
      </c>
      <c r="D8" s="3" t="inlineStr">
        <is>
          <t>Sau khi học dấu nặng</t>
        </is>
      </c>
      <c r="E8" s="3" t="inlineStr">
        <is>
          <t>Thanh điệu</t>
        </is>
      </c>
      <c r="F8" s="23" t="n">
        <v>1</v>
      </c>
      <c r="G8" s="3" t="inlineStr">
        <is>
          <t>Làm quen</t>
        </is>
      </c>
      <c r="H8" s="22" t="n"/>
      <c r="I8" s="3" t="n"/>
      <c r="J8" s="3" t="inlineStr">
        <is>
          <t>Đúng / Sai</t>
        </is>
      </c>
      <c r="K8" s="3" t="inlineStr">
        <is>
          <t>Tiếng "mẹ" có dấu nặng.</t>
        </is>
      </c>
      <c r="L8" s="3" t="inlineStr">
        <is>
          <t>Đúng</t>
        </is>
      </c>
      <c r="M8" s="3" t="inlineStr">
        <is>
          <t>Sai</t>
        </is>
      </c>
      <c r="N8" s="3" t="n"/>
      <c r="O8" s="3" t="n"/>
      <c r="P8" s="3" t="n"/>
      <c r="Q8" s="3" t="inlineStr">
        <is>
          <t>A</t>
        </is>
      </c>
      <c r="R8" s="3" t="inlineStr">
        <is>
          <t>Dấu nặng đặt dưới chữ e trong "mẹ".</t>
        </is>
      </c>
      <c r="S8" s="3" t="n"/>
      <c r="T8" s="22" t="n">
        <v>30</v>
      </c>
      <c r="U8" s="22">
        <f>INDEX(Khung_cap_do!$H$2:$H$6,F8)</f>
        <v/>
      </c>
      <c r="V8" s="22" t="n">
        <v>4</v>
      </c>
      <c r="W8" s="22" t="n">
        <v>1</v>
      </c>
      <c r="X8" s="3" t="inlineStr">
        <is>
          <t>V1.AM.02</t>
        </is>
      </c>
      <c r="Y8" s="3" t="inlineStr">
        <is>
          <t>TV.DAUTHANH</t>
        </is>
      </c>
      <c r="Z8" s="3" t="inlineStr">
        <is>
          <t>Soạn thêm</t>
        </is>
      </c>
      <c r="AA8" s="3" t="inlineStr"/>
      <c r="AB8" s="3" t="inlineStr">
        <is>
          <t>Đã học m, e và dấu nặng.</t>
        </is>
      </c>
      <c r="AC8" s="3" t="inlineStr">
        <is>
          <t>Chương trình GDPT 2018 – Tiếng Việt 1; đối chiếu SGK Kết nối tri thức (Tập 1).</t>
        </is>
      </c>
      <c r="AD8" s="3" t="inlineStr">
        <is>
          <t>EduChain Kids soạn thêm (2026-10); bám chương trình GDPT 2018 và trình tự SGK đã chọn</t>
        </is>
      </c>
      <c r="AE8" s="3" t="inlineStr">
        <is>
          <t>Bản soạn mới — cần rà soát</t>
        </is>
      </c>
      <c r="AF8" s="3" t="inlineStr">
        <is>
          <t>Chờ giáo viên duyệt</t>
        </is>
      </c>
      <c r="AG8" s="3" t="n"/>
    </row>
    <row r="9">
      <c r="A9" s="3" t="inlineStr">
        <is>
          <t>EC1-075</t>
        </is>
      </c>
      <c r="B9" s="3" t="inlineStr">
        <is>
          <t>Tiếng Việt</t>
        </is>
      </c>
      <c r="C9" s="22" t="n">
        <v>1</v>
      </c>
      <c r="D9" s="3" t="inlineStr">
        <is>
          <t>Sau khi học vần eo</t>
        </is>
      </c>
      <c r="E9" s="3" t="inlineStr">
        <is>
          <t>Nhận diện vần</t>
        </is>
      </c>
      <c r="F9" s="23" t="n">
        <v>1</v>
      </c>
      <c r="G9" s="3" t="inlineStr">
        <is>
          <t>Làm quen</t>
        </is>
      </c>
      <c r="H9" s="22" t="n"/>
      <c r="I9" s="3" t="n"/>
      <c r="J9" s="3" t="inlineStr">
        <is>
          <t>Chọn đáp án</t>
        </is>
      </c>
      <c r="K9" s="3" t="inlineStr">
        <is>
          <t>Tiếng "mèo" có vần gì?</t>
        </is>
      </c>
      <c r="L9" s="3" t="inlineStr">
        <is>
          <t>eo</t>
        </is>
      </c>
      <c r="M9" s="3" t="inlineStr">
        <is>
          <t>ao</t>
        </is>
      </c>
      <c r="N9" s="3" t="inlineStr">
        <is>
          <t>au</t>
        </is>
      </c>
      <c r="O9" s="3" t="n"/>
      <c r="P9" s="3" t="n"/>
      <c r="Q9" s="3" t="inlineStr">
        <is>
          <t>A</t>
        </is>
      </c>
      <c r="R9" s="3" t="inlineStr">
        <is>
          <t>"Mèo" = m + eo + dấu huyền.</t>
        </is>
      </c>
      <c r="S9" s="3" t="n"/>
      <c r="T9" s="22" t="n">
        <v>30</v>
      </c>
      <c r="U9" s="22">
        <f>INDEX(Khung_cap_do!$H$2:$H$6,F9)</f>
        <v/>
      </c>
      <c r="V9" s="22" t="n">
        <v>4</v>
      </c>
      <c r="W9" s="22" t="n">
        <v>2</v>
      </c>
      <c r="X9" s="3" t="inlineStr">
        <is>
          <t>V1.AM.03</t>
        </is>
      </c>
      <c r="Y9" s="3" t="inlineStr">
        <is>
          <t>TV.GHEPVAN</t>
        </is>
      </c>
      <c r="Z9" s="3" t="inlineStr">
        <is>
          <t>Soạn thêm</t>
        </is>
      </c>
      <c r="AA9" s="3" t="inlineStr"/>
      <c r="AB9" s="3" t="inlineStr">
        <is>
          <t>Đã học vần ao, eo, au.</t>
        </is>
      </c>
      <c r="AC9" s="3" t="inlineStr">
        <is>
          <t>Chương trình GDPT 2018 – Tiếng Việt 1; đối chiếu SGK Kết nối tri thức (Tập 1).</t>
        </is>
      </c>
      <c r="AD9" s="3" t="inlineStr">
        <is>
          <t>EduChain Kids soạn thêm (2026-10); bám chương trình GDPT 2018 và trình tự SGK đã chọn</t>
        </is>
      </c>
      <c r="AE9" s="3" t="inlineStr">
        <is>
          <t>Bản soạn mới — cần rà soát</t>
        </is>
      </c>
      <c r="AF9" s="3" t="inlineStr">
        <is>
          <t>Chờ giáo viên duyệt</t>
        </is>
      </c>
      <c r="AG9" s="3" t="n"/>
    </row>
    <row r="10">
      <c r="A10" s="3" t="inlineStr">
        <is>
          <t>EC1-019</t>
        </is>
      </c>
      <c r="B10" s="3" t="inlineStr">
        <is>
          <t>Tiếng Việt</t>
        </is>
      </c>
      <c r="C10" s="22" t="n">
        <v>1</v>
      </c>
      <c r="D10" s="3" t="inlineStr">
        <is>
          <t>Sau khi học chữ để ghép tiếng</t>
        </is>
      </c>
      <c r="E10" s="3" t="inlineStr">
        <is>
          <t>Ghép tiếng</t>
        </is>
      </c>
      <c r="F10" s="23" t="n">
        <v>2</v>
      </c>
      <c r="G10" s="3" t="inlineStr">
        <is>
          <t>Cơ bản</t>
        </is>
      </c>
      <c r="H10" s="22" t="n"/>
      <c r="I10" s="3" t="n"/>
      <c r="J10" s="3" t="inlineStr">
        <is>
          <t>Chọn đáp án</t>
        </is>
      </c>
      <c r="K10" s="3" t="inlineStr">
        <is>
          <t>Chọn tiếng ghép được từ b và a.</t>
        </is>
      </c>
      <c r="L10" s="3" t="inlineStr">
        <is>
          <t>ba</t>
        </is>
      </c>
      <c r="M10" s="3" t="inlineStr">
        <is>
          <t>ca</t>
        </is>
      </c>
      <c r="N10" s="3" t="inlineStr">
        <is>
          <t>ma</t>
        </is>
      </c>
      <c r="O10" s="3" t="n"/>
      <c r="P10" s="3" t="n"/>
      <c r="Q10" s="3" t="inlineStr">
        <is>
          <t>A</t>
        </is>
      </c>
      <c r="R10" s="3" t="inlineStr">
        <is>
          <t>b ghép với a tạo thành “ba”.</t>
        </is>
      </c>
      <c r="S10" s="3" t="n"/>
      <c r="T10" s="22" t="n">
        <v>40</v>
      </c>
      <c r="U10" s="22">
        <f>INDEX(Khung_cap_do!$H$2:$H$6,F10)</f>
        <v/>
      </c>
      <c r="V10" s="22" t="n">
        <v>1</v>
      </c>
      <c r="W10" s="22" t="n">
        <v>3</v>
      </c>
      <c r="X10" s="3" t="inlineStr">
        <is>
          <t>V1.DOC.01</t>
        </is>
      </c>
      <c r="Y10" s="3" t="inlineStr">
        <is>
          <t>TV.GHEPVAN</t>
        </is>
      </c>
      <c r="Z10" s="3" t="inlineStr">
        <is>
          <t>Bộ mẫu</t>
        </is>
      </c>
      <c r="AA10" s="3" t="inlineStr"/>
      <c r="AB10" s="3" t="inlineStr">
        <is>
          <t>Các chữ và thao tác ghép tiếng đã học.</t>
        </is>
      </c>
      <c r="AC10" s="3" t="inlineStr">
        <is>
          <t>Đối chiếu bài đã học.</t>
        </is>
      </c>
      <c r="AD10" s="3" t="inlineStr">
        <is>
          <t>Chương trình GDPT 2018 / kế hoạch dạy học của trường; đối chiếu văn bản hiện hành</t>
        </is>
      </c>
      <c r="AE10" s="3" t="inlineStr">
        <is>
          <t>Bản mẫu — cần rà soát</t>
        </is>
      </c>
      <c r="AF10" s="3" t="inlineStr">
        <is>
          <t>Chờ giáo viên duyệt</t>
        </is>
      </c>
      <c r="AG10" s="3" t="n"/>
    </row>
    <row r="11">
      <c r="A11" s="3" t="inlineStr">
        <is>
          <t>EC1-020</t>
        </is>
      </c>
      <c r="B11" s="3" t="inlineStr">
        <is>
          <t>Tiếng Việt</t>
        </is>
      </c>
      <c r="C11" s="22" t="n">
        <v>1</v>
      </c>
      <c r="D11" s="3" t="inlineStr">
        <is>
          <t>Sau khi học từ tương ứng</t>
        </is>
      </c>
      <c r="E11" s="3" t="inlineStr">
        <is>
          <t>Đọc từ</t>
        </is>
      </c>
      <c r="F11" s="23" t="n">
        <v>2</v>
      </c>
      <c r="G11" s="3" t="inlineStr">
        <is>
          <t>Cơ bản</t>
        </is>
      </c>
      <c r="H11" s="22" t="n"/>
      <c r="I11" s="3" t="n"/>
      <c r="J11" s="3" t="inlineStr">
        <is>
          <t>Chọn đáp án</t>
        </is>
      </c>
      <c r="K11" s="3" t="inlineStr">
        <is>
          <t>Từ nào chỉ một con vật?</t>
        </is>
      </c>
      <c r="L11" s="3" t="inlineStr">
        <is>
          <t>mèo</t>
        </is>
      </c>
      <c r="M11" s="3" t="inlineStr">
        <is>
          <t>bàn</t>
        </is>
      </c>
      <c r="N11" s="3" t="inlineStr">
        <is>
          <t>bút</t>
        </is>
      </c>
      <c r="O11" s="3" t="n"/>
      <c r="P11" s="3" t="n"/>
      <c r="Q11" s="3" t="inlineStr">
        <is>
          <t>A</t>
        </is>
      </c>
      <c r="R11" s="3" t="inlineStr">
        <is>
          <t>Mèo là tên một con vật.</t>
        </is>
      </c>
      <c r="S11" s="3" t="n"/>
      <c r="T11" s="22" t="n">
        <v>40</v>
      </c>
      <c r="U11" s="22">
        <f>INDEX(Khung_cap_do!$H$2:$H$6,F11)</f>
        <v/>
      </c>
      <c r="V11" s="22" t="n">
        <v>1</v>
      </c>
      <c r="W11" s="22" t="n">
        <v>4</v>
      </c>
      <c r="X11" s="3" t="inlineStr">
        <is>
          <t>V1.VIET.04</t>
        </is>
      </c>
      <c r="Y11" s="3" t="inlineStr">
        <is>
          <t>TV.TUNGU</t>
        </is>
      </c>
      <c r="Z11" s="3" t="inlineStr">
        <is>
          <t>Bộ mẫu</t>
        </is>
      </c>
      <c r="AA11" s="3" t="inlineStr"/>
      <c r="AB11" s="3" t="inlineStr">
        <is>
          <t>Học sinh đọc được từ hoặc có hỗ trợ âm thanh.</t>
        </is>
      </c>
      <c r="AC11" s="3" t="inlineStr">
        <is>
          <t>Tránh kiểm tra vốn từ ngoài chương trình.</t>
        </is>
      </c>
      <c r="AD11" s="3" t="inlineStr">
        <is>
          <t>Chương trình GDPT 2018 / kế hoạch dạy học của trường; đối chiếu văn bản hiện hành</t>
        </is>
      </c>
      <c r="AE11" s="3" t="inlineStr">
        <is>
          <t>Bản mẫu — cần rà soát</t>
        </is>
      </c>
      <c r="AF11" s="3" t="inlineStr">
        <is>
          <t>Chờ giáo viên duyệt</t>
        </is>
      </c>
      <c r="AG11" s="3" t="n"/>
    </row>
    <row r="12">
      <c r="A12" s="3" t="inlineStr">
        <is>
          <t>EC1-021</t>
        </is>
      </c>
      <c r="B12" s="3" t="inlineStr">
        <is>
          <t>Tiếng Việt</t>
        </is>
      </c>
      <c r="C12" s="22" t="n">
        <v>1</v>
      </c>
      <c r="D12" s="3" t="inlineStr">
        <is>
          <t>Sau khi học câu ngắn</t>
        </is>
      </c>
      <c r="E12" s="3" t="inlineStr">
        <is>
          <t>Hiểu câu</t>
        </is>
      </c>
      <c r="F12" s="23" t="n">
        <v>2</v>
      </c>
      <c r="G12" s="3" t="inlineStr">
        <is>
          <t>Cơ bản</t>
        </is>
      </c>
      <c r="H12" s="22" t="n"/>
      <c r="I12" s="3" t="n"/>
      <c r="J12" s="3" t="inlineStr">
        <is>
          <t>Chọn đáp án</t>
        </is>
      </c>
      <c r="K12" s="3" t="inlineStr">
        <is>
          <t>Câu “Bé đá bóng.” nói về việc gì?</t>
        </is>
      </c>
      <c r="L12" s="3" t="inlineStr">
        <is>
          <t>Bé đá bóng</t>
        </is>
      </c>
      <c r="M12" s="3" t="inlineStr">
        <is>
          <t>Bé ngủ</t>
        </is>
      </c>
      <c r="N12" s="3" t="inlineStr">
        <is>
          <t>Bé ăn cơm</t>
        </is>
      </c>
      <c r="O12" s="3" t="n"/>
      <c r="P12" s="3" t="n"/>
      <c r="Q12" s="3" t="inlineStr">
        <is>
          <t>A</t>
        </is>
      </c>
      <c r="R12" s="3" t="inlineStr">
        <is>
          <t>Câu nêu việc bé đá bóng.</t>
        </is>
      </c>
      <c r="S12" s="3" t="n"/>
      <c r="T12" s="22" t="n">
        <v>40</v>
      </c>
      <c r="U12" s="22">
        <f>INDEX(Khung_cap_do!$H$2:$H$6,F12)</f>
        <v/>
      </c>
      <c r="V12" s="22" t="n">
        <v>2</v>
      </c>
      <c r="W12" s="22" t="n">
        <v>3</v>
      </c>
      <c r="X12" s="3" t="inlineStr">
        <is>
          <t>V1.DOC.04</t>
        </is>
      </c>
      <c r="Y12" s="3" t="inlineStr">
        <is>
          <t>TV.DOCHIEU</t>
        </is>
      </c>
      <c r="Z12" s="3" t="inlineStr">
        <is>
          <t>Bộ mẫu</t>
        </is>
      </c>
      <c r="AA12" s="3" t="inlineStr">
        <is>
          <t>[Chọn đáp án] Câu "Bé đá bóng." nói về việc gì?
A. Bé đá bóng | B. Bé ngủ | C. Bé ăn cơm
Đáp án: A</t>
        </is>
      </c>
      <c r="AB12" s="3" t="inlineStr">
        <is>
          <t>Học sinh đọc/nghe được câu.</t>
        </is>
      </c>
      <c r="AC12" s="3" t="inlineStr">
        <is>
          <t>Câu ngắn, từ vựng quen thuộc.</t>
        </is>
      </c>
      <c r="AD12" s="3" t="inlineStr">
        <is>
          <t>Chương trình GDPT 2018 / kế hoạch dạy học của trường; đối chiếu văn bản hiện hành</t>
        </is>
      </c>
      <c r="AE12" s="3" t="inlineStr">
        <is>
          <t>Bản mẫu — cần rà soát</t>
        </is>
      </c>
      <c r="AF12" s="3" t="inlineStr">
        <is>
          <t>Chờ giáo viên duyệt</t>
        </is>
      </c>
      <c r="AG12" s="3" t="n"/>
    </row>
    <row r="13">
      <c r="A13" s="3" t="inlineStr">
        <is>
          <t>EC1-024</t>
        </is>
      </c>
      <c r="B13" s="3" t="inlineStr">
        <is>
          <t>Tiếng Việt</t>
        </is>
      </c>
      <c r="C13" s="22" t="n">
        <v>1</v>
      </c>
      <c r="D13" s="3" t="inlineStr">
        <is>
          <t>Sau khi học từ chỉ đặc điểm</t>
        </is>
      </c>
      <c r="E13" s="3" t="inlineStr">
        <is>
          <t>Từ ngữ</t>
        </is>
      </c>
      <c r="F13" s="23" t="n">
        <v>2</v>
      </c>
      <c r="G13" s="3" t="inlineStr">
        <is>
          <t>Cơ bản</t>
        </is>
      </c>
      <c r="H13" s="22" t="n">
        <v>3</v>
      </c>
      <c r="I13" s="3" t="inlineStr">
        <is>
          <t>Chỉ nhận biết nghĩa một từ quen thuộc, xếp L2.</t>
        </is>
      </c>
      <c r="J13" s="3" t="inlineStr">
        <is>
          <t>Chọn đáp án</t>
        </is>
      </c>
      <c r="K13" s="3" t="inlineStr">
        <is>
          <t>Chọn từ chỉ màu sắc.</t>
        </is>
      </c>
      <c r="L13" s="3" t="inlineStr">
        <is>
          <t>đỏ</t>
        </is>
      </c>
      <c r="M13" s="3" t="inlineStr">
        <is>
          <t>chạy</t>
        </is>
      </c>
      <c r="N13" s="3" t="inlineStr">
        <is>
          <t>ngủ</t>
        </is>
      </c>
      <c r="O13" s="3" t="n"/>
      <c r="P13" s="3" t="n"/>
      <c r="Q13" s="3" t="inlineStr">
        <is>
          <t>A</t>
        </is>
      </c>
      <c r="R13" s="3" t="inlineStr">
        <is>
          <t>“Đỏ” chỉ màu sắc.</t>
        </is>
      </c>
      <c r="S13" s="3" t="n"/>
      <c r="T13" s="22" t="n">
        <v>40</v>
      </c>
      <c r="U13" s="22">
        <f>INDEX(Khung_cap_do!$H$2:$H$6,F13)</f>
        <v/>
      </c>
      <c r="V13" s="22" t="n">
        <v>2</v>
      </c>
      <c r="W13" s="22" t="n">
        <v>4</v>
      </c>
      <c r="X13" s="3" t="inlineStr">
        <is>
          <t>V1.VIET.04</t>
        </is>
      </c>
      <c r="Y13" s="3" t="inlineStr">
        <is>
          <t>TV.TUNGU</t>
        </is>
      </c>
      <c r="Z13" s="3" t="inlineStr">
        <is>
          <t>Bộ mẫu</t>
        </is>
      </c>
      <c r="AA13" s="3" t="inlineStr"/>
      <c r="AB13" s="3" t="inlineStr">
        <is>
          <t>Từ và khái niệm đã được giới thiệu.</t>
        </is>
      </c>
      <c r="AC13" s="3" t="inlineStr">
        <is>
          <t>Giáo viên xác nhận thuật ngữ phù hợp.</t>
        </is>
      </c>
      <c r="AD13" s="3" t="inlineStr">
        <is>
          <t>Chương trình GDPT 2018 / kế hoạch dạy học của trường; đối chiếu văn bản hiện hành</t>
        </is>
      </c>
      <c r="AE13" s="3" t="inlineStr">
        <is>
          <t>Bản mẫu — cần rà soát</t>
        </is>
      </c>
      <c r="AF13" s="3" t="inlineStr">
        <is>
          <t>Chờ giáo viên duyệt</t>
        </is>
      </c>
      <c r="AG13" s="3" t="n"/>
    </row>
    <row r="14">
      <c r="A14" s="3" t="inlineStr">
        <is>
          <t>EC1-076</t>
        </is>
      </c>
      <c r="B14" s="3" t="inlineStr">
        <is>
          <t>Tiếng Việt</t>
        </is>
      </c>
      <c r="C14" s="22" t="n">
        <v>1</v>
      </c>
      <c r="D14" s="3" t="inlineStr">
        <is>
          <t>Sau khi học quy tắc c/k</t>
        </is>
      </c>
      <c r="E14" s="3" t="inlineStr">
        <is>
          <t>Chính tả c/k</t>
        </is>
      </c>
      <c r="F14" s="23" t="n">
        <v>2</v>
      </c>
      <c r="G14" s="3" t="inlineStr">
        <is>
          <t>Cơ bản</t>
        </is>
      </c>
      <c r="H14" s="22" t="n"/>
      <c r="I14" s="3" t="n"/>
      <c r="J14" s="3" t="inlineStr">
        <is>
          <t>Điền đáp án</t>
        </is>
      </c>
      <c r="K14" s="3" t="inlineStr">
        <is>
          <t>Điền c hoặc k: cái ...ẹo</t>
        </is>
      </c>
      <c r="L14" s="3" t="n"/>
      <c r="M14" s="3" t="n"/>
      <c r="N14" s="3" t="n"/>
      <c r="O14" s="3" t="n"/>
      <c r="P14" s="3" t="n"/>
      <c r="Q14" s="3" t="inlineStr">
        <is>
          <t>k</t>
        </is>
      </c>
      <c r="R14" s="3" t="inlineStr">
        <is>
          <t>Viết k trước e, ê, i: cái kẹo.</t>
        </is>
      </c>
      <c r="S14" s="3" t="n"/>
      <c r="T14" s="22" t="n">
        <v>50</v>
      </c>
      <c r="U14" s="22">
        <f>INDEX(Khung_cap_do!$H$2:$H$6,F14)</f>
        <v/>
      </c>
      <c r="V14" s="22" t="n">
        <v>3</v>
      </c>
      <c r="W14" s="22" t="n">
        <v>3</v>
      </c>
      <c r="X14" s="3" t="inlineStr">
        <is>
          <t>V1.AM.04</t>
        </is>
      </c>
      <c r="Y14" s="3" t="inlineStr">
        <is>
          <t>TV.CHINHTA</t>
        </is>
      </c>
      <c r="Z14" s="3" t="inlineStr">
        <is>
          <t>Soạn thêm</t>
        </is>
      </c>
      <c r="AA14" s="3" t="inlineStr"/>
      <c r="AB14" s="3" t="inlineStr">
        <is>
          <t>Đã học c, k và quy tắc viết k trước e, ê, i.</t>
        </is>
      </c>
      <c r="AC14" s="3" t="inlineStr">
        <is>
          <t>Chương trình GDPT 2018 – Tiếng Việt 1; đối chiếu SGK Kết nối tri thức (Tập 1).</t>
        </is>
      </c>
      <c r="AD14" s="3" t="inlineStr">
        <is>
          <t>EduChain Kids soạn thêm (2026-10); bám chương trình GDPT 2018 và trình tự SGK đã chọn</t>
        </is>
      </c>
      <c r="AE14" s="3" t="inlineStr">
        <is>
          <t>Bản soạn mới — cần rà soát</t>
        </is>
      </c>
      <c r="AF14" s="3" t="inlineStr">
        <is>
          <t>Chờ giáo viên duyệt</t>
        </is>
      </c>
      <c r="AG14" s="3" t="n"/>
    </row>
    <row r="15">
      <c r="A15" s="3" t="inlineStr">
        <is>
          <t>EC1-077</t>
        </is>
      </c>
      <c r="B15" s="3" t="inlineStr">
        <is>
          <t>Tiếng Việt</t>
        </is>
      </c>
      <c r="C15" s="22" t="n">
        <v>1</v>
      </c>
      <c r="D15" s="3" t="inlineStr">
        <is>
          <t>Sau khi học các chữ c, g, b</t>
        </is>
      </c>
      <c r="E15" s="3" t="inlineStr">
        <is>
          <t>Đọc tiếng – nối tranh</t>
        </is>
      </c>
      <c r="F15" s="23" t="n">
        <v>2</v>
      </c>
      <c r="G15" s="3" t="inlineStr">
        <is>
          <t>Cơ bản</t>
        </is>
      </c>
      <c r="H15" s="22" t="n"/>
      <c r="I15" s="3" t="n"/>
      <c r="J15" s="3" t="inlineStr">
        <is>
          <t>Ghép cặp</t>
        </is>
      </c>
      <c r="K15" s="3" t="inlineStr">
        <is>
          <t>Nối tranh với tiếng.
(Vế trái: 🐟 / 🐔 / 🐄 · Vế phải: bò / cá / gà)</t>
        </is>
      </c>
      <c r="L15" s="3" t="n"/>
      <c r="M15" s="3" t="n"/>
      <c r="N15" s="3" t="n"/>
      <c r="O15" s="3" t="n"/>
      <c r="P15" s="3" t="n"/>
      <c r="Q15" s="3" t="inlineStr">
        <is>
          <t>🐟 – cá; 🐔 – gà; 🐄 – bò</t>
        </is>
      </c>
      <c r="R15" s="3" t="inlineStr">
        <is>
          <t>🐟 cá, 🐔 gà, 🐄 bò.</t>
        </is>
      </c>
      <c r="S15" s="3" t="n"/>
      <c r="T15" s="22" t="n">
        <v>55</v>
      </c>
      <c r="U15" s="22">
        <f>INDEX(Khung_cap_do!$H$2:$H$6,F15)</f>
        <v/>
      </c>
      <c r="V15" s="22" t="n">
        <v>3</v>
      </c>
      <c r="W15" s="22" t="n">
        <v>4</v>
      </c>
      <c r="X15" s="3" t="inlineStr">
        <is>
          <t>V1.DOC.05</t>
        </is>
      </c>
      <c r="Y15" s="3" t="inlineStr">
        <is>
          <t>TV.NOITU</t>
        </is>
      </c>
      <c r="Z15" s="3" t="inlineStr">
        <is>
          <t>Soạn thêm</t>
        </is>
      </c>
      <c r="AA15" s="3" t="inlineStr"/>
      <c r="AB15" s="3" t="inlineStr">
        <is>
          <t>Đã đọc được cá, gà, bò.</t>
        </is>
      </c>
      <c r="AC15" s="3" t="inlineStr">
        <is>
          <t>Chương trình GDPT 2018 – Tiếng Việt 1; đối chiếu SGK Kết nối tri thức (Tập 1).</t>
        </is>
      </c>
      <c r="AD15" s="3" t="inlineStr">
        <is>
          <t>EduChain Kids soạn thêm (2026-10); bám chương trình GDPT 2018 và trình tự SGK đã chọn</t>
        </is>
      </c>
      <c r="AE15" s="3" t="inlineStr">
        <is>
          <t>Bản soạn mới — cần rà soát</t>
        </is>
      </c>
      <c r="AF15" s="3" t="inlineStr">
        <is>
          <t>Chờ giáo viên duyệt</t>
        </is>
      </c>
      <c r="AG15" s="3" t="n"/>
    </row>
    <row r="16">
      <c r="A16" s="3" t="inlineStr">
        <is>
          <t>EC1-078</t>
        </is>
      </c>
      <c r="B16" s="3" t="inlineStr">
        <is>
          <t>Tiếng Việt</t>
        </is>
      </c>
      <c r="C16" s="22" t="n">
        <v>1</v>
      </c>
      <c r="D16" s="3" t="inlineStr">
        <is>
          <t>Sau khi học vần ut, i</t>
        </is>
      </c>
      <c r="E16" s="3" t="inlineStr">
        <is>
          <t>Từ ngữ</t>
        </is>
      </c>
      <c r="F16" s="23" t="n">
        <v>2</v>
      </c>
      <c r="G16" s="3" t="inlineStr">
        <is>
          <t>Cơ bản</t>
        </is>
      </c>
      <c r="H16" s="22" t="n"/>
      <c r="I16" s="3" t="n"/>
      <c r="J16" s="3" t="inlineStr">
        <is>
          <t>Chọn đáp án</t>
        </is>
      </c>
      <c r="K16" s="3" t="inlineStr">
        <is>
          <t>Từ nào chỉ đồ dùng học tập?</t>
        </is>
      </c>
      <c r="L16" s="3" t="inlineStr">
        <is>
          <t>bút chì</t>
        </is>
      </c>
      <c r="M16" s="3" t="inlineStr">
        <is>
          <t>con cò</t>
        </is>
      </c>
      <c r="N16" s="3" t="inlineStr">
        <is>
          <t>quả na</t>
        </is>
      </c>
      <c r="O16" s="3" t="n"/>
      <c r="P16" s="3" t="n"/>
      <c r="Q16" s="3" t="inlineStr">
        <is>
          <t>A</t>
        </is>
      </c>
      <c r="R16" s="3" t="inlineStr">
        <is>
          <t>Bút chì là đồ dùng học tập.</t>
        </is>
      </c>
      <c r="S16" s="3" t="n"/>
      <c r="T16" s="22" t="n">
        <v>40</v>
      </c>
      <c r="U16" s="22">
        <f>INDEX(Khung_cap_do!$H$2:$H$6,F16)</f>
        <v/>
      </c>
      <c r="V16" s="22" t="n">
        <v>4</v>
      </c>
      <c r="W16" s="22" t="n">
        <v>3</v>
      </c>
      <c r="X16" s="3" t="inlineStr">
        <is>
          <t>V1.VIET.04</t>
        </is>
      </c>
      <c r="Y16" s="3" t="inlineStr">
        <is>
          <t>TV.TUNGU</t>
        </is>
      </c>
      <c r="Z16" s="3" t="inlineStr">
        <is>
          <t>Soạn thêm</t>
        </is>
      </c>
      <c r="AA16" s="3" t="inlineStr"/>
      <c r="AB16" s="3" t="inlineStr">
        <is>
          <t>Đã đọc được bút chì, con cò, quả na.</t>
        </is>
      </c>
      <c r="AC16" s="3" t="inlineStr">
        <is>
          <t>Chương trình GDPT 2018 – Tiếng Việt 1; đối chiếu SGK Kết nối tri thức (Tập 1).</t>
        </is>
      </c>
      <c r="AD16" s="3" t="inlineStr">
        <is>
          <t>EduChain Kids soạn thêm (2026-10); bám chương trình GDPT 2018 và trình tự SGK đã chọn</t>
        </is>
      </c>
      <c r="AE16" s="3" t="inlineStr">
        <is>
          <t>Bản soạn mới — cần rà soát</t>
        </is>
      </c>
      <c r="AF16" s="3" t="inlineStr">
        <is>
          <t>Chờ giáo viên duyệt</t>
        </is>
      </c>
      <c r="AG16" s="3" t="n"/>
    </row>
    <row r="17">
      <c r="A17" s="3" t="inlineStr">
        <is>
          <t>EC1-079</t>
        </is>
      </c>
      <c r="B17" s="3" t="inlineStr">
        <is>
          <t>Tiếng Việt</t>
        </is>
      </c>
      <c r="C17" s="22" t="n">
        <v>1</v>
      </c>
      <c r="D17" s="3" t="inlineStr">
        <is>
          <t>Sau khi học chữ g</t>
        </is>
      </c>
      <c r="E17" s="3" t="inlineStr">
        <is>
          <t>Ghép tiếng</t>
        </is>
      </c>
      <c r="F17" s="23" t="n">
        <v>2</v>
      </c>
      <c r="G17" s="3" t="inlineStr">
        <is>
          <t>Cơ bản</t>
        </is>
      </c>
      <c r="H17" s="22" t="n"/>
      <c r="I17" s="3" t="n"/>
      <c r="J17" s="3" t="inlineStr">
        <is>
          <t>Điền đáp án</t>
        </is>
      </c>
      <c r="K17" s="3" t="inlineStr">
        <is>
          <t>g ghép với a, thêm dấu huyền, được tiếng gì?</t>
        </is>
      </c>
      <c r="L17" s="3" t="n"/>
      <c r="M17" s="3" t="n"/>
      <c r="N17" s="3" t="n"/>
      <c r="O17" s="3" t="n"/>
      <c r="P17" s="3" t="n"/>
      <c r="Q17" s="3" t="inlineStr">
        <is>
          <t>gà</t>
        </is>
      </c>
      <c r="R17" s="3" t="inlineStr">
        <is>
          <t>g + a + dấu huyền = gà.</t>
        </is>
      </c>
      <c r="S17" s="3" t="n"/>
      <c r="T17" s="22" t="n">
        <v>50</v>
      </c>
      <c r="U17" s="22">
        <f>INDEX(Khung_cap_do!$H$2:$H$6,F17)</f>
        <v/>
      </c>
      <c r="V17" s="22" t="n">
        <v>4</v>
      </c>
      <c r="W17" s="22" t="n">
        <v>4</v>
      </c>
      <c r="X17" s="3" t="inlineStr">
        <is>
          <t>V1.DOC.01</t>
        </is>
      </c>
      <c r="Y17" s="3" t="inlineStr">
        <is>
          <t>TV.GHEPVAN</t>
        </is>
      </c>
      <c r="Z17" s="3" t="inlineStr">
        <is>
          <t>Soạn thêm</t>
        </is>
      </c>
      <c r="AA17" s="3" t="inlineStr"/>
      <c r="AB17" s="3" t="inlineStr">
        <is>
          <t>Đã học g, a, dấu huyền.</t>
        </is>
      </c>
      <c r="AC17" s="3" t="inlineStr">
        <is>
          <t>Chương trình GDPT 2018 – Tiếng Việt 1; đối chiếu SGK Kết nối tri thức (Tập 1).</t>
        </is>
      </c>
      <c r="AD17" s="3" t="inlineStr">
        <is>
          <t>EduChain Kids soạn thêm (2026-10); bám chương trình GDPT 2018 và trình tự SGK đã chọn</t>
        </is>
      </c>
      <c r="AE17" s="3" t="inlineStr">
        <is>
          <t>Bản soạn mới — cần rà soát</t>
        </is>
      </c>
      <c r="AF17" s="3" t="inlineStr">
        <is>
          <t>Chờ giáo viên duyệt</t>
        </is>
      </c>
      <c r="AG17" s="3" t="n"/>
    </row>
    <row r="18">
      <c r="A18" s="3" t="inlineStr">
        <is>
          <t>EC1-022</t>
        </is>
      </c>
      <c r="B18" s="3" t="inlineStr">
        <is>
          <t>Tiếng Việt</t>
        </is>
      </c>
      <c r="C18" s="22" t="n">
        <v>1</v>
      </c>
      <c r="D18" s="3" t="inlineStr">
        <is>
          <t>Sau khi học các tiếng trong câu</t>
        </is>
      </c>
      <c r="E18" s="3" t="inlineStr">
        <is>
          <t>Sắp xếp tiếng</t>
        </is>
      </c>
      <c r="F18" s="23" t="n">
        <v>3</v>
      </c>
      <c r="G18" s="3" t="inlineStr">
        <is>
          <t>Vận dụng</t>
        </is>
      </c>
      <c r="H18" s="22" t="n"/>
      <c r="I18" s="3" t="n"/>
      <c r="J18" s="3" t="inlineStr">
        <is>
          <t>Sắp xếp</t>
        </is>
      </c>
      <c r="K18" s="3" t="inlineStr">
        <is>
          <t>Sắp xếp thành câu: “đọc / Lan / sách”.</t>
        </is>
      </c>
      <c r="L18" s="3" t="n"/>
      <c r="M18" s="3" t="n"/>
      <c r="N18" s="3" t="n"/>
      <c r="O18" s="3" t="n"/>
      <c r="P18" s="3" t="n"/>
      <c r="Q18" s="3" t="inlineStr">
        <is>
          <t>Lan đọc sách.</t>
        </is>
      </c>
      <c r="R18" s="3" t="inlineStr">
        <is>
          <t>Sắp xếp thành câu có nghĩa.</t>
        </is>
      </c>
      <c r="S18" s="3" t="inlineStr">
        <is>
          <t>Câu cho biết ai (Lan) làm gì (đọc sách). Chữ đầu câu viết hoa: Lan đọc sách.</t>
        </is>
      </c>
      <c r="T18" s="22" t="n">
        <v>65</v>
      </c>
      <c r="U18" s="22">
        <f>INDEX(Khung_cap_do!$H$2:$H$6,F18)</f>
        <v/>
      </c>
      <c r="V18" s="22" t="n">
        <v>1</v>
      </c>
      <c r="W18" s="22" t="n">
        <v>5</v>
      </c>
      <c r="X18" s="3" t="inlineStr">
        <is>
          <t>V1.VIET.03</t>
        </is>
      </c>
      <c r="Y18" s="3" t="inlineStr">
        <is>
          <t>TV.XEPCAU</t>
        </is>
      </c>
      <c r="Z18" s="3" t="inlineStr">
        <is>
          <t>Bộ mẫu</t>
        </is>
      </c>
      <c r="AA18" s="3" t="inlineStr">
        <is>
          <t>[Sắp xếp] Sắp xếp thành câu: "đọc / Lan / sách".
Đáp án: Lan → đọc → sách</t>
        </is>
      </c>
      <c r="AB18" s="3" t="inlineStr">
        <is>
          <t>Các tiếng đã học; đã làm quen câu đơn giản.</t>
        </is>
      </c>
      <c r="AC18" s="3" t="inlineStr">
        <is>
          <t>Đề xuất bài tập; giáo viên duyệt.</t>
        </is>
      </c>
      <c r="AD18" s="3" t="inlineStr">
        <is>
          <t>Chương trình GDPT 2018 / kế hoạch dạy học của trường; đối chiếu văn bản hiện hành</t>
        </is>
      </c>
      <c r="AE18" s="3" t="inlineStr">
        <is>
          <t>Bản mẫu — cần rà soát</t>
        </is>
      </c>
      <c r="AF18" s="3" t="inlineStr">
        <is>
          <t>Chờ giáo viên duyệt</t>
        </is>
      </c>
      <c r="AG18" s="3" t="n"/>
    </row>
    <row r="19">
      <c r="A19" s="3" t="inlineStr">
        <is>
          <t>EC1-023</t>
        </is>
      </c>
      <c r="B19" s="3" t="inlineStr">
        <is>
          <t>Tiếng Việt</t>
        </is>
      </c>
      <c r="C19" s="22" t="n">
        <v>1</v>
      </c>
      <c r="D19" s="3" t="inlineStr">
        <is>
          <t>Sau khi học câu ngắn</t>
        </is>
      </c>
      <c r="E19" s="3" t="inlineStr">
        <is>
          <t>Đọc hiểu</t>
        </is>
      </c>
      <c r="F19" s="23" t="n">
        <v>3</v>
      </c>
      <c r="G19" s="3" t="inlineStr">
        <is>
          <t>Vận dụng</t>
        </is>
      </c>
      <c r="H19" s="22" t="n"/>
      <c r="I19" s="3" t="n"/>
      <c r="J19" s="3" t="inlineStr">
        <is>
          <t>Chọn đáp án</t>
        </is>
      </c>
      <c r="K19" s="3" t="inlineStr">
        <is>
          <t>Đọc: “Nam tưới cây.” Ai tưới cây?</t>
        </is>
      </c>
      <c r="L19" s="3" t="inlineStr">
        <is>
          <t>Nam</t>
        </is>
      </c>
      <c r="M19" s="3" t="inlineStr">
        <is>
          <t>Cây</t>
        </is>
      </c>
      <c r="N19" s="3" t="inlineStr">
        <is>
          <t>Không rõ</t>
        </is>
      </c>
      <c r="O19" s="3" t="n"/>
      <c r="P19" s="3" t="n"/>
      <c r="Q19" s="3" t="inlineStr">
        <is>
          <t>A</t>
        </is>
      </c>
      <c r="R19" s="3" t="inlineStr">
        <is>
          <t>Câu cho biết Nam là người tưới cây.</t>
        </is>
      </c>
      <c r="S19" s="3" t="inlineStr">
        <is>
          <t>Hỏi "Ai?" là hỏi người làm việc. Trong câu, người tưới cây là Nam.</t>
        </is>
      </c>
      <c r="T19" s="22" t="n">
        <v>50</v>
      </c>
      <c r="U19" s="22">
        <f>INDEX(Khung_cap_do!$H$2:$H$6,F19)</f>
        <v/>
      </c>
      <c r="V19" s="22" t="n">
        <v>1</v>
      </c>
      <c r="W19" s="22" t="n">
        <v>6</v>
      </c>
      <c r="X19" s="3" t="inlineStr">
        <is>
          <t>V1.DOC.04</t>
        </is>
      </c>
      <c r="Y19" s="3" t="inlineStr">
        <is>
          <t>TV.DOCHIEU</t>
        </is>
      </c>
      <c r="Z19" s="3" t="inlineStr">
        <is>
          <t>Bộ mẫu</t>
        </is>
      </c>
      <c r="AA19" s="3" t="inlineStr">
        <is>
          <t>[Chọn đáp án] Đọc: "Nam tưới cây." Ai tưới cây?
A. Nam | B. Cây | C. Không rõ
Đáp án: A</t>
        </is>
      </c>
      <c r="AB19" s="3" t="inlineStr">
        <is>
          <t>Đọc được câu hoặc có audio hỗ trợ.</t>
        </is>
      </c>
      <c r="AC19" s="3" t="inlineStr">
        <is>
          <t>Tìm thông tin trực tiếp.</t>
        </is>
      </c>
      <c r="AD19" s="3" t="inlineStr">
        <is>
          <t>Chương trình GDPT 2018 / kế hoạch dạy học của trường; đối chiếu văn bản hiện hành</t>
        </is>
      </c>
      <c r="AE19" s="3" t="inlineStr">
        <is>
          <t>Bản mẫu — cần rà soát</t>
        </is>
      </c>
      <c r="AF19" s="3" t="inlineStr">
        <is>
          <t>Chờ giáo viên duyệt</t>
        </is>
      </c>
      <c r="AG19" s="3" t="n"/>
    </row>
    <row r="20">
      <c r="A20" s="3" t="inlineStr">
        <is>
          <t>EC1-027</t>
        </is>
      </c>
      <c r="B20" s="3" t="inlineStr">
        <is>
          <t>Tiếng Việt</t>
        </is>
      </c>
      <c r="C20" s="22" t="n">
        <v>1</v>
      </c>
      <c r="D20" s="3" t="inlineStr">
        <is>
          <t>Sau khi học các từ đã dùng</t>
        </is>
      </c>
      <c r="E20" s="3" t="inlineStr">
        <is>
          <t>Chọn từ</t>
        </is>
      </c>
      <c r="F20" s="23" t="n">
        <v>3</v>
      </c>
      <c r="G20" s="3" t="inlineStr">
        <is>
          <t>Vận dụng</t>
        </is>
      </c>
      <c r="H20" s="22" t="n">
        <v>4</v>
      </c>
      <c r="I20" s="3" t="inlineStr">
        <is>
          <t>Chọn một từ hợp nghĩa trong câu ngắn, xếp L3.</t>
        </is>
      </c>
      <c r="J20" s="3" t="inlineStr">
        <is>
          <t>Chọn đáp án</t>
        </is>
      </c>
      <c r="K20" s="3" t="inlineStr">
        <is>
          <t>Hoàn thành câu: “Bé ___ nước.”</t>
        </is>
      </c>
      <c r="L20" s="3" t="inlineStr">
        <is>
          <t>uống</t>
        </is>
      </c>
      <c r="M20" s="3" t="inlineStr">
        <is>
          <t>xanh</t>
        </is>
      </c>
      <c r="N20" s="3" t="inlineStr">
        <is>
          <t>bàn</t>
        </is>
      </c>
      <c r="O20" s="3" t="n"/>
      <c r="P20" s="3" t="n"/>
      <c r="Q20" s="3" t="inlineStr">
        <is>
          <t>A</t>
        </is>
      </c>
      <c r="R20" s="3" t="inlineStr">
        <is>
          <t>“Uống” phù hợp với “nước”.</t>
        </is>
      </c>
      <c r="S20" s="3" t="inlineStr">
        <is>
          <t>Nước là thứ để uống: "Bé uống nước." Hai từ còn lại không tạo thành câu có nghĩa.</t>
        </is>
      </c>
      <c r="T20" s="22" t="n">
        <v>50</v>
      </c>
      <c r="U20" s="22">
        <f>INDEX(Khung_cap_do!$H$2:$H$6,F20)</f>
        <v/>
      </c>
      <c r="V20" s="22" t="n">
        <v>2</v>
      </c>
      <c r="W20" s="22" t="n">
        <v>5</v>
      </c>
      <c r="X20" s="3" t="inlineStr">
        <is>
          <t>V1.VIET.06</t>
        </is>
      </c>
      <c r="Y20" s="3" t="inlineStr">
        <is>
          <t>TV.DOCHIEU</t>
        </is>
      </c>
      <c r="Z20" s="3" t="inlineStr">
        <is>
          <t>Bộ mẫu</t>
        </is>
      </c>
      <c r="AA20" s="3" t="inlineStr">
        <is>
          <t>[Chọn đáp án] Hoàn thành câu: "Bé ___ nước."
A. uống | B. xanh | C. bàn
Đáp án: A</t>
        </is>
      </c>
      <c r="AB20" s="3" t="inlineStr">
        <is>
          <t>Đọc hiểu nghĩa cơ bản của các từ.</t>
        </is>
      </c>
      <c r="AC20" s="3" t="inlineStr">
        <is>
          <t>Đề xuất nội bộ; không phải chuẩn chính thức.</t>
        </is>
      </c>
      <c r="AD20" s="3" t="inlineStr">
        <is>
          <t>Chương trình GDPT 2018 / kế hoạch dạy học của trường; đối chiếu văn bản hiện hành</t>
        </is>
      </c>
      <c r="AE20" s="3" t="inlineStr">
        <is>
          <t>Bản mẫu — cần rà soát</t>
        </is>
      </c>
      <c r="AF20" s="3" t="inlineStr">
        <is>
          <t>Chờ giáo viên duyệt</t>
        </is>
      </c>
      <c r="AG20" s="3" t="n"/>
    </row>
    <row r="21">
      <c r="A21" s="3" t="inlineStr">
        <is>
          <t>EC1-080</t>
        </is>
      </c>
      <c r="B21" s="3" t="inlineStr">
        <is>
          <t>Tiếng Việt</t>
        </is>
      </c>
      <c r="C21" s="22" t="n">
        <v>1</v>
      </c>
      <c r="D21" s="3" t="inlineStr">
        <is>
          <t>Sau khi học các tiếng trong câu</t>
        </is>
      </c>
      <c r="E21" s="3" t="inlineStr">
        <is>
          <t>Sắp xếp tiếng</t>
        </is>
      </c>
      <c r="F21" s="23" t="n">
        <v>3</v>
      </c>
      <c r="G21" s="3" t="inlineStr">
        <is>
          <t>Vận dụng</t>
        </is>
      </c>
      <c r="H21" s="22" t="n"/>
      <c r="I21" s="3" t="n"/>
      <c r="J21" s="3" t="inlineStr">
        <is>
          <t>Sắp xếp</t>
        </is>
      </c>
      <c r="K21" s="3" t="inlineStr">
        <is>
          <t>Xếp thành câu: "bé / Mẹ / ru".
(Các mục: Mẹ / bé / ru)</t>
        </is>
      </c>
      <c r="L21" s="3" t="n"/>
      <c r="M21" s="3" t="n"/>
      <c r="N21" s="3" t="n"/>
      <c r="O21" s="3" t="n"/>
      <c r="P21" s="3" t="n"/>
      <c r="Q21" s="3" t="inlineStr">
        <is>
          <t>Mẹ → ru → bé</t>
        </is>
      </c>
      <c r="R21" s="3" t="inlineStr">
        <is>
          <t>Mẹ ru bé.</t>
        </is>
      </c>
      <c r="S21" s="3" t="inlineStr">
        <is>
          <t>Ai? – Mẹ. Làm gì? – ru bé. Chữ đầu câu viết hoa: Mẹ ru bé.</t>
        </is>
      </c>
      <c r="T21" s="22" t="n">
        <v>65</v>
      </c>
      <c r="U21" s="22">
        <f>INDEX(Khung_cap_do!$H$2:$H$6,F21)</f>
        <v/>
      </c>
      <c r="V21" s="22" t="n">
        <v>2</v>
      </c>
      <c r="W21" s="22" t="n">
        <v>6</v>
      </c>
      <c r="X21" s="3" t="inlineStr">
        <is>
          <t>V1.VIET.03</t>
        </is>
      </c>
      <c r="Y21" s="3" t="inlineStr">
        <is>
          <t>TV.XEPCAU</t>
        </is>
      </c>
      <c r="Z21" s="3" t="inlineStr">
        <is>
          <t>Soạn thêm</t>
        </is>
      </c>
      <c r="AA21" s="3" t="inlineStr"/>
      <c r="AB21" s="3" t="inlineStr">
        <is>
          <t>Đã đọc được mẹ, ru, bé.</t>
        </is>
      </c>
      <c r="AC21" s="3" t="inlineStr">
        <is>
          <t>Chương trình GDPT 2018 – Tiếng Việt 1; đối chiếu SGK Kết nối tri thức (Tập 1).</t>
        </is>
      </c>
      <c r="AD21" s="3" t="inlineStr">
        <is>
          <t>EduChain Kids soạn thêm (2026-10); bám chương trình GDPT 2018 và trình tự SGK đã chọn</t>
        </is>
      </c>
      <c r="AE21" s="3" t="inlineStr">
        <is>
          <t>Bản soạn mới — cần rà soát</t>
        </is>
      </c>
      <c r="AF21" s="3" t="inlineStr">
        <is>
          <t>Chờ giáo viên duyệt</t>
        </is>
      </c>
      <c r="AG21" s="3" t="n"/>
    </row>
    <row r="22">
      <c r="A22" s="3" t="inlineStr">
        <is>
          <t>EC1-081</t>
        </is>
      </c>
      <c r="B22" s="3" t="inlineStr">
        <is>
          <t>Tiếng Việt</t>
        </is>
      </c>
      <c r="C22" s="22" t="n">
        <v>1</v>
      </c>
      <c r="D22" s="3" t="inlineStr">
        <is>
          <t>Sau khi học câu ngắn</t>
        </is>
      </c>
      <c r="E22" s="3" t="inlineStr">
        <is>
          <t>Đọc hiểu</t>
        </is>
      </c>
      <c r="F22" s="23" t="n">
        <v>3</v>
      </c>
      <c r="G22" s="3" t="inlineStr">
        <is>
          <t>Vận dụng</t>
        </is>
      </c>
      <c r="H22" s="22" t="n"/>
      <c r="I22" s="3" t="n"/>
      <c r="J22" s="3" t="inlineStr">
        <is>
          <t>Chọn đáp án</t>
        </is>
      </c>
      <c r="K22" s="3" t="inlineStr">
        <is>
          <t>Đọc: "Bố đi làm. Mẹ đi chợ." Ai đi chợ?</t>
        </is>
      </c>
      <c r="L22" s="3" t="inlineStr">
        <is>
          <t>Mẹ</t>
        </is>
      </c>
      <c r="M22" s="3" t="inlineStr">
        <is>
          <t>Bố</t>
        </is>
      </c>
      <c r="N22" s="3" t="inlineStr">
        <is>
          <t>Bé</t>
        </is>
      </c>
      <c r="O22" s="3" t="n"/>
      <c r="P22" s="3" t="n"/>
      <c r="Q22" s="3" t="inlineStr">
        <is>
          <t>A</t>
        </is>
      </c>
      <c r="R22" s="3" t="inlineStr">
        <is>
          <t>Câu thứ hai: Mẹ đi chợ.</t>
        </is>
      </c>
      <c r="S22" s="3" t="inlineStr">
        <is>
          <t>Đoạn có hai câu: Bố đi làm; Mẹ đi chợ. Người đi chợ là Mẹ.</t>
        </is>
      </c>
      <c r="T22" s="22" t="n">
        <v>50</v>
      </c>
      <c r="U22" s="22">
        <f>INDEX(Khung_cap_do!$H$2:$H$6,F22)</f>
        <v/>
      </c>
      <c r="V22" s="22" t="n">
        <v>3</v>
      </c>
      <c r="W22" s="22" t="n">
        <v>5</v>
      </c>
      <c r="X22" s="3" t="inlineStr">
        <is>
          <t>V1.DOC.04</t>
        </is>
      </c>
      <c r="Y22" s="3" t="inlineStr">
        <is>
          <t>TV.DOCHIEU</t>
        </is>
      </c>
      <c r="Z22" s="3" t="inlineStr">
        <is>
          <t>Soạn thêm</t>
        </is>
      </c>
      <c r="AA22" s="3" t="inlineStr"/>
      <c r="AB22" s="3" t="inlineStr">
        <is>
          <t>Đã đọc được câu ngắn có các tiếng này.</t>
        </is>
      </c>
      <c r="AC22" s="3" t="inlineStr">
        <is>
          <t>Chương trình GDPT 2018 – Tiếng Việt 1; đối chiếu SGK Kết nối tri thức (Tập 1).</t>
        </is>
      </c>
      <c r="AD22" s="3" t="inlineStr">
        <is>
          <t>EduChain Kids soạn thêm (2026-10); bám chương trình GDPT 2018 và trình tự SGK đã chọn</t>
        </is>
      </c>
      <c r="AE22" s="3" t="inlineStr">
        <is>
          <t>Bản soạn mới — cần rà soát</t>
        </is>
      </c>
      <c r="AF22" s="3" t="inlineStr">
        <is>
          <t>Chờ giáo viên duyệt</t>
        </is>
      </c>
      <c r="AG22" s="3" t="n"/>
    </row>
    <row r="23">
      <c r="A23" s="3" t="inlineStr">
        <is>
          <t>EC1-082</t>
        </is>
      </c>
      <c r="B23" s="3" t="inlineStr">
        <is>
          <t>Tiếng Việt</t>
        </is>
      </c>
      <c r="C23" s="22" t="n">
        <v>1</v>
      </c>
      <c r="D23" s="3" t="inlineStr">
        <is>
          <t>Sau khi học vần ong, am</t>
        </is>
      </c>
      <c r="E23" s="3" t="inlineStr">
        <is>
          <t>Từ ngữ</t>
        </is>
      </c>
      <c r="F23" s="23" t="n">
        <v>3</v>
      </c>
      <c r="G23" s="3" t="inlineStr">
        <is>
          <t>Vận dụng</t>
        </is>
      </c>
      <c r="H23" s="22" t="n"/>
      <c r="I23" s="3" t="n"/>
      <c r="J23" s="3" t="inlineStr">
        <is>
          <t>Chọn nhiều đáp án</t>
        </is>
      </c>
      <c r="K23" s="3" t="inlineStr">
        <is>
          <t>Chọn TẤT CẢ từ chỉ con vật.</t>
        </is>
      </c>
      <c r="L23" s="3" t="inlineStr">
        <is>
          <t>con gà</t>
        </is>
      </c>
      <c r="M23" s="3" t="inlineStr">
        <is>
          <t>cái ghế</t>
        </is>
      </c>
      <c r="N23" s="3" t="inlineStr">
        <is>
          <t>con thỏ</t>
        </is>
      </c>
      <c r="O23" s="3" t="inlineStr">
        <is>
          <t>quả cam</t>
        </is>
      </c>
      <c r="P23" s="3" t="n"/>
      <c r="Q23" s="3" t="inlineStr">
        <is>
          <t>A, C</t>
        </is>
      </c>
      <c r="R23" s="3" t="inlineStr">
        <is>
          <t>Gà và thỏ là con vật.</t>
        </is>
      </c>
      <c r="S23" s="3" t="inlineStr">
        <is>
          <t>Con gà, con thỏ là con vật. Cái ghế là đồ vật, quả cam là quả.</t>
        </is>
      </c>
      <c r="T23" s="22" t="n">
        <v>60</v>
      </c>
      <c r="U23" s="22">
        <f>INDEX(Khung_cap_do!$H$2:$H$6,F23)</f>
        <v/>
      </c>
      <c r="V23" s="22" t="n">
        <v>3</v>
      </c>
      <c r="W23" s="22" t="n">
        <v>6</v>
      </c>
      <c r="X23" s="3" t="inlineStr">
        <is>
          <t>V1.VIET.04</t>
        </is>
      </c>
      <c r="Y23" s="3" t="inlineStr">
        <is>
          <t>TV.TUNGU</t>
        </is>
      </c>
      <c r="Z23" s="3" t="inlineStr">
        <is>
          <t>Soạn thêm</t>
        </is>
      </c>
      <c r="AA23" s="3" t="inlineStr"/>
      <c r="AB23" s="3" t="inlineStr">
        <is>
          <t>Đã đọc được các từ trong lựa chọn.</t>
        </is>
      </c>
      <c r="AC23" s="3" t="inlineStr">
        <is>
          <t>Chương trình GDPT 2018 – Tiếng Việt 1; đối chiếu SGK Kết nối tri thức (Tập 1).</t>
        </is>
      </c>
      <c r="AD23" s="3" t="inlineStr">
        <is>
          <t>EduChain Kids soạn thêm (2026-10); bám chương trình GDPT 2018 và trình tự SGK đã chọn</t>
        </is>
      </c>
      <c r="AE23" s="3" t="inlineStr">
        <is>
          <t>Bản soạn mới — cần rà soát</t>
        </is>
      </c>
      <c r="AF23" s="3" t="inlineStr">
        <is>
          <t>Chờ giáo viên duyệt</t>
        </is>
      </c>
      <c r="AG23" s="3" t="n"/>
    </row>
    <row r="24">
      <c r="A24" s="3" t="inlineStr">
        <is>
          <t>EC1-083</t>
        </is>
      </c>
      <c r="B24" s="3" t="inlineStr">
        <is>
          <t>Tiếng Việt</t>
        </is>
      </c>
      <c r="C24" s="22" t="n">
        <v>1</v>
      </c>
      <c r="D24" s="3" t="inlineStr">
        <is>
          <t>Sau khi học quy tắc g/gh</t>
        </is>
      </c>
      <c r="E24" s="3" t="inlineStr">
        <is>
          <t>Chính tả g/gh</t>
        </is>
      </c>
      <c r="F24" s="23" t="n">
        <v>3</v>
      </c>
      <c r="G24" s="3" t="inlineStr">
        <is>
          <t>Vận dụng</t>
        </is>
      </c>
      <c r="H24" s="22" t="n"/>
      <c r="I24" s="3" t="n"/>
      <c r="J24" s="3" t="inlineStr">
        <is>
          <t>Điền đáp án</t>
        </is>
      </c>
      <c r="K24" s="3" t="inlineStr">
        <is>
          <t>Điền g hoặc gh: cái ...ế</t>
        </is>
      </c>
      <c r="L24" s="3" t="n"/>
      <c r="M24" s="3" t="n"/>
      <c r="N24" s="3" t="n"/>
      <c r="O24" s="3" t="n"/>
      <c r="P24" s="3" t="n"/>
      <c r="Q24" s="3" t="inlineStr">
        <is>
          <t>gh</t>
        </is>
      </c>
      <c r="R24" s="3" t="inlineStr">
        <is>
          <t>Viết gh trước e, ê, i: cái ghế.</t>
        </is>
      </c>
      <c r="S24" s="3" t="inlineStr">
        <is>
          <t>Sau chữ cần điền là ê. Trước e, ê, i ta viết gh: cái ghế.</t>
        </is>
      </c>
      <c r="T24" s="22" t="n">
        <v>60</v>
      </c>
      <c r="U24" s="22">
        <f>INDEX(Khung_cap_do!$H$2:$H$6,F24)</f>
        <v/>
      </c>
      <c r="V24" s="22" t="n">
        <v>4</v>
      </c>
      <c r="W24" s="22" t="n">
        <v>5</v>
      </c>
      <c r="X24" s="3" t="inlineStr">
        <is>
          <t>V1.AM.04</t>
        </is>
      </c>
      <c r="Y24" s="3" t="inlineStr">
        <is>
          <t>TV.CHINHTA</t>
        </is>
      </c>
      <c r="Z24" s="3" t="inlineStr">
        <is>
          <t>Soạn thêm</t>
        </is>
      </c>
      <c r="AA24" s="3" t="inlineStr"/>
      <c r="AB24" s="3" t="inlineStr">
        <is>
          <t>Đã học g, gh và quy tắc chính tả.</t>
        </is>
      </c>
      <c r="AC24" s="3" t="inlineStr">
        <is>
          <t>Chương trình GDPT 2018 – Tiếng Việt 1; đối chiếu SGK Kết nối tri thức (Tập 1).</t>
        </is>
      </c>
      <c r="AD24" s="3" t="inlineStr">
        <is>
          <t>EduChain Kids soạn thêm (2026-10); bám chương trình GDPT 2018 và trình tự SGK đã chọn</t>
        </is>
      </c>
      <c r="AE24" s="3" t="inlineStr">
        <is>
          <t>Bản soạn mới — cần rà soát</t>
        </is>
      </c>
      <c r="AF24" s="3" t="inlineStr">
        <is>
          <t>Chờ giáo viên duyệt</t>
        </is>
      </c>
      <c r="AG24" s="3" t="n"/>
    </row>
    <row r="25">
      <c r="A25" s="3" t="inlineStr">
        <is>
          <t>EC1-084</t>
        </is>
      </c>
      <c r="B25" s="3" t="inlineStr">
        <is>
          <t>Tiếng Việt</t>
        </is>
      </c>
      <c r="C25" s="22" t="n">
        <v>1</v>
      </c>
      <c r="D25" s="3" t="inlineStr">
        <is>
          <t>Sau khi học quy tắc ng/ngh</t>
        </is>
      </c>
      <c r="E25" s="3" t="inlineStr">
        <is>
          <t>Chính tả ng/ngh</t>
        </is>
      </c>
      <c r="F25" s="23" t="n">
        <v>3</v>
      </c>
      <c r="G25" s="3" t="inlineStr">
        <is>
          <t>Vận dụng</t>
        </is>
      </c>
      <c r="H25" s="22" t="n"/>
      <c r="I25" s="3" t="n"/>
      <c r="J25" s="3" t="inlineStr">
        <is>
          <t>Chọn đáp án</t>
        </is>
      </c>
      <c r="K25" s="3" t="inlineStr">
        <is>
          <t>Chọn từ viết đúng chính tả.</t>
        </is>
      </c>
      <c r="L25" s="3" t="inlineStr">
        <is>
          <t>nghỉ hè</t>
        </is>
      </c>
      <c r="M25" s="3" t="inlineStr">
        <is>
          <t>ngỉ hè</t>
        </is>
      </c>
      <c r="N25" s="3" t="n"/>
      <c r="O25" s="3" t="n"/>
      <c r="P25" s="3" t="n"/>
      <c r="Q25" s="3" t="inlineStr">
        <is>
          <t>A</t>
        </is>
      </c>
      <c r="R25" s="3" t="inlineStr">
        <is>
          <t>Trước i viết ngh: nghỉ hè.</t>
        </is>
      </c>
      <c r="S25" s="3" t="inlineStr">
        <is>
          <t>Trước e, ê, i ta viết ngh. Vì vậy "nghỉ" viết ngh.</t>
        </is>
      </c>
      <c r="T25" s="22" t="n">
        <v>50</v>
      </c>
      <c r="U25" s="22">
        <f>INDEX(Khung_cap_do!$H$2:$H$6,F25)</f>
        <v/>
      </c>
      <c r="V25" s="22" t="n">
        <v>4</v>
      </c>
      <c r="W25" s="22" t="n">
        <v>6</v>
      </c>
      <c r="X25" s="3" t="inlineStr">
        <is>
          <t>V1.AM.04</t>
        </is>
      </c>
      <c r="Y25" s="3" t="inlineStr">
        <is>
          <t>TV.CHINHTA</t>
        </is>
      </c>
      <c r="Z25" s="3" t="inlineStr">
        <is>
          <t>Soạn thêm</t>
        </is>
      </c>
      <c r="AA25" s="3" t="inlineStr"/>
      <c r="AB25" s="3" t="inlineStr">
        <is>
          <t>Đã học ng, ngh và quy tắc chính tả.</t>
        </is>
      </c>
      <c r="AC25" s="3" t="inlineStr">
        <is>
          <t>Chương trình GDPT 2018 – Tiếng Việt 1; đối chiếu SGK Kết nối tri thức (Tập 1).</t>
        </is>
      </c>
      <c r="AD25" s="3" t="inlineStr">
        <is>
          <t>EduChain Kids soạn thêm (2026-10); bám chương trình GDPT 2018 và trình tự SGK đã chọn</t>
        </is>
      </c>
      <c r="AE25" s="3" t="inlineStr">
        <is>
          <t>Bản soạn mới — cần rà soát</t>
        </is>
      </c>
      <c r="AF25" s="3" t="inlineStr">
        <is>
          <t>Chờ giáo viên duyệt</t>
        </is>
      </c>
      <c r="AG25" s="3" t="n"/>
    </row>
    <row r="26">
      <c r="A26" s="3" t="inlineStr">
        <is>
          <t>EC1-025</t>
        </is>
      </c>
      <c r="B26" s="3" t="inlineStr">
        <is>
          <t>Tiếng Việt</t>
        </is>
      </c>
      <c r="C26" s="22" t="n">
        <v>1</v>
      </c>
      <c r="D26" s="3" t="inlineStr">
        <is>
          <t>Sau khi học dấu câu</t>
        </is>
      </c>
      <c r="E26" s="3" t="inlineStr">
        <is>
          <t>Dấu câu</t>
        </is>
      </c>
      <c r="F26" s="23" t="n">
        <v>4</v>
      </c>
      <c r="G26" s="3" t="inlineStr">
        <is>
          <t>Thử thách</t>
        </is>
      </c>
      <c r="H26" s="22" t="n"/>
      <c r="I26" s="3" t="n"/>
      <c r="J26" s="3" t="inlineStr">
        <is>
          <t>Chọn đáp án</t>
        </is>
      </c>
      <c r="K26" s="3" t="inlineStr">
        <is>
          <t>Chọn dấu cuối câu kể: “Em yêu trường em__”</t>
        </is>
      </c>
      <c r="L26" s="3" t="inlineStr">
        <is>
          <t>.</t>
        </is>
      </c>
      <c r="M26" s="3" t="inlineStr">
        <is>
          <t xml:space="preserve">? </t>
        </is>
      </c>
      <c r="N26" s="3" t="inlineStr">
        <is>
          <t>,</t>
        </is>
      </c>
      <c r="O26" s="3" t="n"/>
      <c r="P26" s="3" t="n"/>
      <c r="Q26" s="3" t="inlineStr">
        <is>
          <t>A</t>
        </is>
      </c>
      <c r="R26" s="3" t="inlineStr">
        <is>
          <t>Câu kể thông thường kết thúc bằng dấu chấm.</t>
        </is>
      </c>
      <c r="S26" s="3" t="inlineStr">
        <is>
          <t>Câu này kể lại điều em nghĩ, không phải câu hỏi, nên cuối câu dùng dấu chấm.</t>
        </is>
      </c>
      <c r="T26" s="22" t="n">
        <v>60</v>
      </c>
      <c r="U26" s="22">
        <f>INDEX(Khung_cap_do!$H$2:$H$6,F26)</f>
        <v/>
      </c>
      <c r="V26" s="22" t="n">
        <v>1</v>
      </c>
      <c r="W26" s="22" t="n">
        <v>7</v>
      </c>
      <c r="X26" s="3" t="inlineStr">
        <is>
          <t>V1.VIET.05</t>
        </is>
      </c>
      <c r="Y26" s="3" t="inlineStr">
        <is>
          <t>TV.DAUCAU</t>
        </is>
      </c>
      <c r="Z26" s="3" t="inlineStr">
        <is>
          <t>Bộ mẫu</t>
        </is>
      </c>
      <c r="AA26" s="3" t="inlineStr">
        <is>
          <t>[Chọn đáp án] Chọn dấu cuối câu kể: "Em yêu trường em__"
A. . | B. ? | C. ,
Đáp án: A</t>
        </is>
      </c>
      <c r="AB26" s="3" t="inlineStr">
        <is>
          <t>Dấu câu đã được dạy.</t>
        </is>
      </c>
      <c r="AC26" s="3" t="inlineStr">
        <is>
          <t>Xác nhận mốc dạy dấu câu.</t>
        </is>
      </c>
      <c r="AD26" s="3" t="inlineStr">
        <is>
          <t>Chương trình GDPT 2018 / kế hoạch dạy học của trường; đối chiếu văn bản hiện hành</t>
        </is>
      </c>
      <c r="AE26" s="3" t="inlineStr">
        <is>
          <t>Bản mẫu — cần rà soát</t>
        </is>
      </c>
      <c r="AF26" s="3" t="inlineStr">
        <is>
          <t>Chờ giáo viên duyệt</t>
        </is>
      </c>
      <c r="AG26" s="3" t="n"/>
    </row>
    <row r="27">
      <c r="A27" s="3" t="inlineStr">
        <is>
          <t>EC1-026</t>
        </is>
      </c>
      <c r="B27" s="3" t="inlineStr">
        <is>
          <t>Tiếng Việt</t>
        </is>
      </c>
      <c r="C27" s="22" t="n">
        <v>1</v>
      </c>
      <c r="D27" s="3" t="inlineStr">
        <is>
          <t>Sau khi học đọc câu ngắn</t>
        </is>
      </c>
      <c r="E27" s="3" t="inlineStr">
        <is>
          <t>Đọc hiểu</t>
        </is>
      </c>
      <c r="F27" s="23" t="n">
        <v>4</v>
      </c>
      <c r="G27" s="3" t="inlineStr">
        <is>
          <t>Thử thách</t>
        </is>
      </c>
      <c r="H27" s="22" t="n"/>
      <c r="I27" s="3" t="n"/>
      <c r="J27" s="3" t="inlineStr">
        <is>
          <t>Chọn đáp án</t>
        </is>
      </c>
      <c r="K27" s="3" t="inlineStr">
        <is>
          <t>Đọc: “Trời mưa. Hà mở ô.” Vì sao Hà mở ô?</t>
        </is>
      </c>
      <c r="L27" s="3" t="inlineStr">
        <is>
          <t>Vì trời mưa</t>
        </is>
      </c>
      <c r="M27" s="3" t="inlineStr">
        <is>
          <t>Vì trời nắng</t>
        </is>
      </c>
      <c r="N27" s="3" t="inlineStr">
        <is>
          <t>Vì Hà đi ngủ</t>
        </is>
      </c>
      <c r="O27" s="3" t="n"/>
      <c r="P27" s="3" t="n"/>
      <c r="Q27" s="3" t="inlineStr">
        <is>
          <t>A</t>
        </is>
      </c>
      <c r="R27" s="3" t="inlineStr">
        <is>
          <t>Hai câu gợi lý do Hà mở ô.</t>
        </is>
      </c>
      <c r="S27" s="3" t="inlineStr">
        <is>
          <t>Câu đầu cho biết trời mưa, câu sau Hà mở ô. Hà mở ô để che mưa.</t>
        </is>
      </c>
      <c r="T27" s="22" t="n">
        <v>60</v>
      </c>
      <c r="U27" s="22">
        <f>INDEX(Khung_cap_do!$H$2:$H$6,F27)</f>
        <v/>
      </c>
      <c r="V27" s="22" t="n">
        <v>1</v>
      </c>
      <c r="W27" s="22" t="n">
        <v>8</v>
      </c>
      <c r="X27" s="3" t="inlineStr">
        <is>
          <t>V1.DOC.04</t>
        </is>
      </c>
      <c r="Y27" s="3" t="inlineStr">
        <is>
          <t>TV.DOCHIEU</t>
        </is>
      </c>
      <c r="Z27" s="3" t="inlineStr">
        <is>
          <t>Bộ mẫu</t>
        </is>
      </c>
      <c r="AA27" s="3" t="inlineStr">
        <is>
          <t>[Chọn đáp án] Đọc: "Trời mưa. Hà mở ô." Vì sao Hà mở ô?
A. Vì trời mưa | B. Vì trời nắng | C. Vì Hà đi ngủ
Đáp án: A</t>
        </is>
      </c>
      <c r="AB27" s="3" t="inlineStr">
        <is>
          <t>Đọc được từ và câu trong đoạn.</t>
        </is>
      </c>
      <c r="AC27" s="3" t="inlineStr">
        <is>
          <t>Giáo viên rà soát vốn từ và vùng miền.</t>
        </is>
      </c>
      <c r="AD27" s="3" t="inlineStr">
        <is>
          <t>Chương trình GDPT 2018 / kế hoạch dạy học của trường; đối chiếu văn bản hiện hành</t>
        </is>
      </c>
      <c r="AE27" s="3" t="inlineStr">
        <is>
          <t>Bản mẫu — cần rà soát</t>
        </is>
      </c>
      <c r="AF27" s="3" t="inlineStr">
        <is>
          <t>Chờ giáo viên duyệt</t>
        </is>
      </c>
      <c r="AG27" s="3" t="n"/>
    </row>
    <row r="28">
      <c r="A28" s="3" t="inlineStr">
        <is>
          <t>EC1-028</t>
        </is>
      </c>
      <c r="B28" s="3" t="inlineStr">
        <is>
          <t>Tiếng Việt</t>
        </is>
      </c>
      <c r="C28" s="22" t="n">
        <v>1</v>
      </c>
      <c r="D28" s="3" t="inlineStr">
        <is>
          <t>Sau khi luyện đọc đoạn ngắn</t>
        </is>
      </c>
      <c r="E28" s="3" t="inlineStr">
        <is>
          <t>Đọc hiểu</t>
        </is>
      </c>
      <c r="F28" s="23" t="n">
        <v>4</v>
      </c>
      <c r="G28" s="3" t="inlineStr">
        <is>
          <t>Thử thách</t>
        </is>
      </c>
      <c r="H28" s="22" t="n">
        <v>5</v>
      </c>
      <c r="I28" s="3" t="inlineStr">
        <is>
          <t>Thông tin nằm sẵn trong câu (tường minh), xếp L4.</t>
        </is>
      </c>
      <c r="J28" s="3" t="inlineStr">
        <is>
          <t>Trả lời ngắn</t>
        </is>
      </c>
      <c r="K28" s="3" t="inlineStr">
        <is>
          <t>Đọc: “Minh có một cây bút. Minh cho bạn mượn bút.” Minh đã làm gì?</t>
        </is>
      </c>
      <c r="L28" s="3" t="n"/>
      <c r="M28" s="3" t="n"/>
      <c r="N28" s="3" t="n"/>
      <c r="O28" s="3" t="n"/>
      <c r="P28" s="3" t="n"/>
      <c r="Q28" s="3" t="inlineStr">
        <is>
          <t>Minh cho bạn mượn bút.</t>
        </is>
      </c>
      <c r="R28" s="3" t="inlineStr">
        <is>
          <t>Thông tin được nêu trực tiếp ở câu thứ hai.</t>
        </is>
      </c>
      <c r="S28" s="3" t="inlineStr">
        <is>
          <t>Câu thứ hai nói rõ: "Minh cho bạn mượn bút."</t>
        </is>
      </c>
      <c r="T28" s="22" t="n">
        <v>70</v>
      </c>
      <c r="U28" s="22">
        <f>INDEX(Khung_cap_do!$H$2:$H$6,F28)</f>
        <v/>
      </c>
      <c r="V28" s="22" t="n">
        <v>2</v>
      </c>
      <c r="W28" s="22" t="n">
        <v>7</v>
      </c>
      <c r="X28" s="3" t="inlineStr">
        <is>
          <t>V1.DOC.04</t>
        </is>
      </c>
      <c r="Y28" s="3" t="inlineStr">
        <is>
          <t>TV.DOCHIEU</t>
        </is>
      </c>
      <c r="Z28" s="3" t="inlineStr">
        <is>
          <t>Bộ mẫu</t>
        </is>
      </c>
      <c r="AA28" s="3" t="inlineStr">
        <is>
          <t>[Chọn đáp án] Đọc: "Minh có một cây bút. Minh cho bạn mượn bút." Minh đã làm gì?
A. Cho bạn mượn bút | B. Làm mất bút | C. Mua bút mới
Đáp án: A
Ghi chú: Bản app chuyển câu trả lời ngắn thành chọn đáp án.</t>
        </is>
      </c>
      <c r="AB28" s="3" t="inlineStr">
        <is>
          <t>Đã học từ và câu trong đoạn.</t>
        </is>
      </c>
      <c r="AC28" s="3" t="inlineStr">
        <is>
          <t>Giáo viên duyệt độ dài và vốn từ.</t>
        </is>
      </c>
      <c r="AD28" s="3" t="inlineStr">
        <is>
          <t>Chương trình GDPT 2018 / kế hoạch dạy học của trường; đối chiếu văn bản hiện hành</t>
        </is>
      </c>
      <c r="AE28" s="3" t="inlineStr">
        <is>
          <t>Bản mẫu — cần rà soát</t>
        </is>
      </c>
      <c r="AF28" s="3" t="inlineStr">
        <is>
          <t>Chờ giáo viên duyệt</t>
        </is>
      </c>
      <c r="AG28" s="3" t="n"/>
    </row>
    <row r="29">
      <c r="A29" s="3" t="inlineStr">
        <is>
          <t>EC1-085</t>
        </is>
      </c>
      <c r="B29" s="3" t="inlineStr">
        <is>
          <t>Tiếng Việt</t>
        </is>
      </c>
      <c r="C29" s="22" t="n">
        <v>1</v>
      </c>
      <c r="D29" s="3" t="inlineStr">
        <is>
          <t>Sau khi học vần an, iêm, ôi</t>
        </is>
      </c>
      <c r="E29" s="3" t="inlineStr">
        <is>
          <t>Đọc hiểu</t>
        </is>
      </c>
      <c r="F29" s="23" t="n">
        <v>4</v>
      </c>
      <c r="G29" s="3" t="inlineStr">
        <is>
          <t>Thử thách</t>
        </is>
      </c>
      <c r="H29" s="22" t="n"/>
      <c r="I29" s="3" t="n"/>
      <c r="J29" s="3" t="inlineStr">
        <is>
          <t>Chọn đáp án</t>
        </is>
      </c>
      <c r="K29" s="3" t="inlineStr">
        <is>
          <t>Đọc: "Gà mẹ dẫn đàn con đi kiếm mồi." Gà mẹ dẫn ai đi?</t>
        </is>
      </c>
      <c r="L29" s="3" t="inlineStr">
        <is>
          <t>Đàn gà con</t>
        </is>
      </c>
      <c r="M29" s="3" t="inlineStr">
        <is>
          <t>Chó con</t>
        </is>
      </c>
      <c r="N29" s="3" t="inlineStr">
        <is>
          <t>Bé Na</t>
        </is>
      </c>
      <c r="O29" s="3" t="n"/>
      <c r="P29" s="3" t="n"/>
      <c r="Q29" s="3" t="inlineStr">
        <is>
          <t>A</t>
        </is>
      </c>
      <c r="R29" s="3" t="inlineStr">
        <is>
          <t>Gà mẹ dẫn đàn con – đàn gà con.</t>
        </is>
      </c>
      <c r="S29" s="3" t="inlineStr">
        <is>
          <t>Câu viết "dẫn đàn con": đàn con của gà mẹ là đàn gà con.</t>
        </is>
      </c>
      <c r="T29" s="22" t="n">
        <v>60</v>
      </c>
      <c r="U29" s="22">
        <f>INDEX(Khung_cap_do!$H$2:$H$6,F29)</f>
        <v/>
      </c>
      <c r="V29" s="22" t="n">
        <v>2</v>
      </c>
      <c r="W29" s="22" t="n">
        <v>8</v>
      </c>
      <c r="X29" s="3" t="inlineStr">
        <is>
          <t>V1.DOC.04</t>
        </is>
      </c>
      <c r="Y29" s="3" t="inlineStr">
        <is>
          <t>TV.DOCHIEU</t>
        </is>
      </c>
      <c r="Z29" s="3" t="inlineStr">
        <is>
          <t>Soạn thêm</t>
        </is>
      </c>
      <c r="AA29" s="3" t="inlineStr"/>
      <c r="AB29" s="3" t="inlineStr">
        <is>
          <t>Đã đọc được câu có vần an, iêm, ôi.</t>
        </is>
      </c>
      <c r="AC29" s="3" t="inlineStr">
        <is>
          <t>Chương trình GDPT 2018 – Tiếng Việt 1; đối chiếu SGK Kết nối tri thức (Tập 1).</t>
        </is>
      </c>
      <c r="AD29" s="3" t="inlineStr">
        <is>
          <t>EduChain Kids soạn thêm (2026-10); bám chương trình GDPT 2018 và trình tự SGK đã chọn</t>
        </is>
      </c>
      <c r="AE29" s="3" t="inlineStr">
        <is>
          <t>Bản soạn mới — cần rà soát</t>
        </is>
      </c>
      <c r="AF29" s="3" t="inlineStr">
        <is>
          <t>Chờ giáo viên duyệt</t>
        </is>
      </c>
      <c r="AG29" s="3" t="n"/>
    </row>
    <row r="30">
      <c r="A30" s="3" t="inlineStr">
        <is>
          <t>EC1-086</t>
        </is>
      </c>
      <c r="B30" s="3" t="inlineStr">
        <is>
          <t>Tiếng Việt</t>
        </is>
      </c>
      <c r="C30" s="22" t="n">
        <v>1</v>
      </c>
      <c r="D30" s="3" t="inlineStr">
        <is>
          <t>Sau khi học dấu chấm hỏi</t>
        </is>
      </c>
      <c r="E30" s="3" t="inlineStr">
        <is>
          <t>Dấu câu</t>
        </is>
      </c>
      <c r="F30" s="23" t="n">
        <v>4</v>
      </c>
      <c r="G30" s="3" t="inlineStr">
        <is>
          <t>Thử thách</t>
        </is>
      </c>
      <c r="H30" s="22" t="n"/>
      <c r="I30" s="3" t="n"/>
      <c r="J30" s="3" t="inlineStr">
        <is>
          <t>Chọn đáp án</t>
        </is>
      </c>
      <c r="K30" s="3" t="inlineStr">
        <is>
          <t>Chọn dấu câu cho chỗ trống: "Bạn tên là gì__"</t>
        </is>
      </c>
      <c r="L30" s="3" t="inlineStr">
        <is>
          <t>?</t>
        </is>
      </c>
      <c r="M30" s="3" t="inlineStr">
        <is>
          <t>.</t>
        </is>
      </c>
      <c r="N30" s="3" t="n"/>
      <c r="O30" s="3" t="n"/>
      <c r="P30" s="3" t="n"/>
      <c r="Q30" s="3" t="inlineStr">
        <is>
          <t>A</t>
        </is>
      </c>
      <c r="R30" s="3" t="inlineStr">
        <is>
          <t>Câu hỏi kết thúc bằng dấu chấm hỏi.</t>
        </is>
      </c>
      <c r="S30" s="3" t="inlineStr">
        <is>
          <t>Câu có "gì" để hỏi tên bạn, nên cuối câu dùng dấu chấm hỏi.</t>
        </is>
      </c>
      <c r="T30" s="22" t="n">
        <v>60</v>
      </c>
      <c r="U30" s="22">
        <f>INDEX(Khung_cap_do!$H$2:$H$6,F30)</f>
        <v/>
      </c>
      <c r="V30" s="22" t="n">
        <v>3</v>
      </c>
      <c r="W30" s="22" t="n">
        <v>7</v>
      </c>
      <c r="X30" s="3" t="inlineStr">
        <is>
          <t>V1.VIET.05</t>
        </is>
      </c>
      <c r="Y30" s="3" t="inlineStr">
        <is>
          <t>TV.DAUCAU</t>
        </is>
      </c>
      <c r="Z30" s="3" t="inlineStr">
        <is>
          <t>Soạn thêm</t>
        </is>
      </c>
      <c r="AA30" s="3" t="inlineStr"/>
      <c r="AB30" s="3" t="inlineStr">
        <is>
          <t>Đã học dấu chấm, dấu chấm hỏi.</t>
        </is>
      </c>
      <c r="AC30" s="3" t="inlineStr">
        <is>
          <t>Chương trình GDPT 2018 – Tiếng Việt 1; đối chiếu SGK Kết nối tri thức (Tập 1).</t>
        </is>
      </c>
      <c r="AD30" s="3" t="inlineStr">
        <is>
          <t>EduChain Kids soạn thêm (2026-10); bám chương trình GDPT 2018 và trình tự SGK đã chọn</t>
        </is>
      </c>
      <c r="AE30" s="3" t="inlineStr">
        <is>
          <t>Bản soạn mới — cần rà soát</t>
        </is>
      </c>
      <c r="AF30" s="3" t="inlineStr">
        <is>
          <t>Chờ giáo viên duyệt</t>
        </is>
      </c>
      <c r="AG30" s="3" t="n"/>
    </row>
    <row r="31">
      <c r="A31" s="3" t="inlineStr">
        <is>
          <t>EC1-087</t>
        </is>
      </c>
      <c r="B31" s="3" t="inlineStr">
        <is>
          <t>Tiếng Việt</t>
        </is>
      </c>
      <c r="C31" s="22" t="n">
        <v>1</v>
      </c>
      <c r="D31" s="3" t="inlineStr">
        <is>
          <t>Sau khi học vần ăm, ai</t>
        </is>
      </c>
      <c r="E31" s="3" t="inlineStr">
        <is>
          <t>Sắp xếp tiếng</t>
        </is>
      </c>
      <c r="F31" s="23" t="n">
        <v>4</v>
      </c>
      <c r="G31" s="3" t="inlineStr">
        <is>
          <t>Thử thách</t>
        </is>
      </c>
      <c r="H31" s="22" t="n"/>
      <c r="I31" s="3" t="n"/>
      <c r="J31" s="3" t="inlineStr">
        <is>
          <t>Sắp xếp</t>
        </is>
      </c>
      <c r="K31" s="3" t="inlineStr">
        <is>
          <t>Xếp thành câu: "chăm / học / Hà / bài".
(Các mục: Hà / bài / chăm / học)</t>
        </is>
      </c>
      <c r="L31" s="3" t="n"/>
      <c r="M31" s="3" t="n"/>
      <c r="N31" s="3" t="n"/>
      <c r="O31" s="3" t="n"/>
      <c r="P31" s="3" t="n"/>
      <c r="Q31" s="3" t="inlineStr">
        <is>
          <t>Hà → chăm → học → bài</t>
        </is>
      </c>
      <c r="R31" s="3" t="inlineStr">
        <is>
          <t>Hà chăm học bài.</t>
        </is>
      </c>
      <c r="S31" s="3" t="inlineStr">
        <is>
          <t>Ai? – Hà. Thế nào? – chăm học bài. Câu: Hà chăm học bài.</t>
        </is>
      </c>
      <c r="T31" s="22" t="n">
        <v>75</v>
      </c>
      <c r="U31" s="22">
        <f>INDEX(Khung_cap_do!$H$2:$H$6,F31)</f>
        <v/>
      </c>
      <c r="V31" s="22" t="n">
        <v>3</v>
      </c>
      <c r="W31" s="22" t="n">
        <v>8</v>
      </c>
      <c r="X31" s="3" t="inlineStr">
        <is>
          <t>V1.VIET.03</t>
        </is>
      </c>
      <c r="Y31" s="3" t="inlineStr">
        <is>
          <t>TV.XEPCAU</t>
        </is>
      </c>
      <c r="Z31" s="3" t="inlineStr">
        <is>
          <t>Soạn thêm</t>
        </is>
      </c>
      <c r="AA31" s="3" t="inlineStr"/>
      <c r="AB31" s="3" t="inlineStr">
        <is>
          <t>Đã đọc được chăm, học, bài.</t>
        </is>
      </c>
      <c r="AC31" s="3" t="inlineStr">
        <is>
          <t>Chương trình GDPT 2018 – Tiếng Việt 1; đối chiếu SGK Kết nối tri thức (Tập 1).</t>
        </is>
      </c>
      <c r="AD31" s="3" t="inlineStr">
        <is>
          <t>EduChain Kids soạn thêm (2026-10); bám chương trình GDPT 2018 và trình tự SGK đã chọn</t>
        </is>
      </c>
      <c r="AE31" s="3" t="inlineStr">
        <is>
          <t>Bản soạn mới — cần rà soát</t>
        </is>
      </c>
      <c r="AF31" s="3" t="inlineStr">
        <is>
          <t>Chờ giáo viên duyệt</t>
        </is>
      </c>
      <c r="AG31" s="3" t="n"/>
    </row>
    <row r="32">
      <c r="A32" s="3" t="inlineStr">
        <is>
          <t>EC1-088</t>
        </is>
      </c>
      <c r="B32" s="3" t="inlineStr">
        <is>
          <t>Tiếng Việt</t>
        </is>
      </c>
      <c r="C32" s="22" t="n">
        <v>1</v>
      </c>
      <c r="D32" s="3" t="inlineStr">
        <is>
          <t>Sau khi học vần ay, an, anh</t>
        </is>
      </c>
      <c r="E32" s="3" t="inlineStr">
        <is>
          <t>Từ chỉ hoạt động</t>
        </is>
      </c>
      <c r="F32" s="23" t="n">
        <v>4</v>
      </c>
      <c r="G32" s="3" t="inlineStr">
        <is>
          <t>Thử thách</t>
        </is>
      </c>
      <c r="H32" s="22" t="n"/>
      <c r="I32" s="3" t="n"/>
      <c r="J32" s="3" t="inlineStr">
        <is>
          <t>Chọn nhiều đáp án</t>
        </is>
      </c>
      <c r="K32" s="3" t="inlineStr">
        <is>
          <t>Chọn TẤT CẢ từ chỉ hoạt động.</t>
        </is>
      </c>
      <c r="L32" s="3" t="inlineStr">
        <is>
          <t>chạy</t>
        </is>
      </c>
      <c r="M32" s="3" t="inlineStr">
        <is>
          <t>nhảy</t>
        </is>
      </c>
      <c r="N32" s="3" t="inlineStr">
        <is>
          <t>cái bàn</t>
        </is>
      </c>
      <c r="O32" s="3" t="inlineStr">
        <is>
          <t>xanh</t>
        </is>
      </c>
      <c r="P32" s="3" t="n"/>
      <c r="Q32" s="3" t="inlineStr">
        <is>
          <t>A, B</t>
        </is>
      </c>
      <c r="R32" s="3" t="inlineStr">
        <is>
          <t>Chạy, nhảy là hoạt động.</t>
        </is>
      </c>
      <c r="S32" s="3" t="inlineStr">
        <is>
          <t>Chạy, nhảy là việc mình làm (hoạt động). Cái bàn là đồ vật; xanh là màu sắc.</t>
        </is>
      </c>
      <c r="T32" s="22" t="n">
        <v>70</v>
      </c>
      <c r="U32" s="22">
        <f>INDEX(Khung_cap_do!$H$2:$H$6,F32)</f>
        <v/>
      </c>
      <c r="V32" s="22" t="n">
        <v>4</v>
      </c>
      <c r="W32" s="22" t="n">
        <v>7</v>
      </c>
      <c r="X32" s="3" t="inlineStr">
        <is>
          <t>V1.VIET.04</t>
        </is>
      </c>
      <c r="Y32" s="3" t="inlineStr">
        <is>
          <t>TV.TUNGU</t>
        </is>
      </c>
      <c r="Z32" s="3" t="inlineStr">
        <is>
          <t>Soạn thêm</t>
        </is>
      </c>
      <c r="AA32" s="3" t="inlineStr"/>
      <c r="AB32" s="3" t="inlineStr">
        <is>
          <t>Đã đọc được các từ trong lựa chọn.</t>
        </is>
      </c>
      <c r="AC32" s="3" t="inlineStr">
        <is>
          <t>Chương trình GDPT 2018 – Tiếng Việt 1; đối chiếu SGK Kết nối tri thức (Tập 1).</t>
        </is>
      </c>
      <c r="AD32" s="3" t="inlineStr">
        <is>
          <t>EduChain Kids soạn thêm (2026-10); bám chương trình GDPT 2018 và trình tự SGK đã chọn</t>
        </is>
      </c>
      <c r="AE32" s="3" t="inlineStr">
        <is>
          <t>Bản soạn mới — cần rà soát</t>
        </is>
      </c>
      <c r="AF32" s="3" t="inlineStr">
        <is>
          <t>Chờ giáo viên duyệt</t>
        </is>
      </c>
      <c r="AG32" s="3" t="n"/>
    </row>
    <row r="33">
      <c r="A33" s="3" t="inlineStr">
        <is>
          <t>EC1-089</t>
        </is>
      </c>
      <c r="B33" s="3" t="inlineStr">
        <is>
          <t>Tiếng Việt</t>
        </is>
      </c>
      <c r="C33" s="22" t="n">
        <v>1</v>
      </c>
      <c r="D33" s="3" t="inlineStr">
        <is>
          <t>Sau khi học vần ây, ơm, ục</t>
        </is>
      </c>
      <c r="E33" s="3" t="inlineStr">
        <is>
          <t>Đọc hiểu</t>
        </is>
      </c>
      <c r="F33" s="23" t="n">
        <v>4</v>
      </c>
      <c r="G33" s="3" t="inlineStr">
        <is>
          <t>Thử thách</t>
        </is>
      </c>
      <c r="H33" s="22" t="n"/>
      <c r="I33" s="3" t="n"/>
      <c r="J33" s="3" t="inlineStr">
        <is>
          <t>Đúng / Sai</t>
        </is>
      </c>
      <c r="K33" s="3" t="inlineStr">
        <is>
          <t>Đọc: "Sáng nay, bé dậy sớm tập thể dục." Bé dậy muộn, đúng hay sai?</t>
        </is>
      </c>
      <c r="L33" s="3" t="inlineStr">
        <is>
          <t>Đúng</t>
        </is>
      </c>
      <c r="M33" s="3" t="inlineStr">
        <is>
          <t>Sai</t>
        </is>
      </c>
      <c r="N33" s="3" t="n"/>
      <c r="O33" s="3" t="n"/>
      <c r="P33" s="3" t="n"/>
      <c r="Q33" s="3" t="inlineStr">
        <is>
          <t>B</t>
        </is>
      </c>
      <c r="R33" s="3" t="inlineStr">
        <is>
          <t>Bé dậy sớm, không phải dậy muộn.</t>
        </is>
      </c>
      <c r="S33" s="3" t="inlineStr">
        <is>
          <t>Câu viết "bé dậy sớm". "Muộn" ngược nghĩa với "sớm" nên nhận xét này sai.</t>
        </is>
      </c>
      <c r="T33" s="22" t="n">
        <v>70</v>
      </c>
      <c r="U33" s="22">
        <f>INDEX(Khung_cap_do!$H$2:$H$6,F33)</f>
        <v/>
      </c>
      <c r="V33" s="22" t="n">
        <v>4</v>
      </c>
      <c r="W33" s="22" t="n">
        <v>8</v>
      </c>
      <c r="X33" s="3" t="inlineStr">
        <is>
          <t>V1.DOC.04</t>
        </is>
      </c>
      <c r="Y33" s="3" t="inlineStr">
        <is>
          <t>TV.DOCHIEU</t>
        </is>
      </c>
      <c r="Z33" s="3" t="inlineStr">
        <is>
          <t>Soạn thêm</t>
        </is>
      </c>
      <c r="AA33" s="3" t="inlineStr"/>
      <c r="AB33" s="3" t="inlineStr">
        <is>
          <t>Đã đọc được câu ngắn có dấu phẩy.</t>
        </is>
      </c>
      <c r="AC33" s="3" t="inlineStr">
        <is>
          <t>Chương trình GDPT 2018 – Tiếng Việt 1; đối chiếu SGK Kết nối tri thức (Tập 1).</t>
        </is>
      </c>
      <c r="AD33" s="3" t="inlineStr">
        <is>
          <t>EduChain Kids soạn thêm (2026-10); bám chương trình GDPT 2018 và trình tự SGK đã chọn</t>
        </is>
      </c>
      <c r="AE33" s="3" t="inlineStr">
        <is>
          <t>Bản soạn mới — cần rà soát</t>
        </is>
      </c>
      <c r="AF33" s="3" t="inlineStr">
        <is>
          <t>Chờ giáo viên duyệt</t>
        </is>
      </c>
      <c r="AG33" s="3" t="n"/>
    </row>
    <row r="34">
      <c r="A34" s="3" t="inlineStr">
        <is>
          <t>EC1-029</t>
        </is>
      </c>
      <c r="B34" s="3" t="inlineStr">
        <is>
          <t>Tiếng Việt</t>
        </is>
      </c>
      <c r="C34" s="22" t="n">
        <v>1</v>
      </c>
      <c r="D34" s="3" t="inlineStr">
        <is>
          <t>Sau khi học câu/đoạn</t>
        </is>
      </c>
      <c r="E34" s="3" t="inlineStr">
        <is>
          <t>Suy luận đơn giản</t>
        </is>
      </c>
      <c r="F34" s="23" t="n">
        <v>5</v>
      </c>
      <c r="G34" s="3" t="inlineStr">
        <is>
          <t>Mở rộng</t>
        </is>
      </c>
      <c r="H34" s="22" t="n"/>
      <c r="I34" s="3" t="n"/>
      <c r="J34" s="3" t="inlineStr">
        <is>
          <t>Trả lời ngắn</t>
        </is>
      </c>
      <c r="K34" s="3" t="inlineStr">
        <is>
          <t>Đọc: “Trời lạnh. Bình mặc áo khoác.” Vì sao Bình mặc áo khoác?</t>
        </is>
      </c>
      <c r="L34" s="3" t="n"/>
      <c r="M34" s="3" t="n"/>
      <c r="N34" s="3" t="n"/>
      <c r="O34" s="3" t="n"/>
      <c r="P34" s="3" t="n"/>
      <c r="Q34" s="3" t="inlineStr">
        <is>
          <t>Vì trời lạnh.</t>
        </is>
      </c>
      <c r="R34" s="3" t="inlineStr">
        <is>
          <t>Suy ra lý do từ hai câu.</t>
        </is>
      </c>
      <c r="S34" s="3" t="inlineStr">
        <is>
          <t>Câu đầu cho biết trời lạnh. Mặc áo khoác để giữ ấm, nên Bình mặc áo vì trời lạnh.</t>
        </is>
      </c>
      <c r="T34" s="22" t="n">
        <v>85</v>
      </c>
      <c r="U34" s="22">
        <f>INDEX(Khung_cap_do!$H$2:$H$6,F34)</f>
        <v/>
      </c>
      <c r="V34" s="22" t="n">
        <v>1</v>
      </c>
      <c r="W34" s="22" t="n">
        <v>9</v>
      </c>
      <c r="X34" s="3" t="inlineStr">
        <is>
          <t>V1.DOC.04</t>
        </is>
      </c>
      <c r="Y34" s="3" t="inlineStr">
        <is>
          <t>TV.DOCHIEU</t>
        </is>
      </c>
      <c r="Z34" s="3" t="inlineStr">
        <is>
          <t>Bộ mẫu</t>
        </is>
      </c>
      <c r="AA34" s="3" t="inlineStr">
        <is>
          <t>[Chọn đáp án] Đọc: "Trời lạnh. Bình mặc áo khoác." Vì sao Bình mặc áo khoác?
A. Vì trời lạnh | B. Vì trời nắng | C. Vì Bình đi ngủ
Đáp án: A
Ghi chú: Bản app chuyển câu trả lời ngắn thành chọn đáp án.</t>
        </is>
      </c>
      <c r="AB34" s="3" t="inlineStr">
        <is>
          <t>Đã học các từ/cấu trúc trong đoạn.</t>
        </is>
      </c>
      <c r="AC34" s="3" t="inlineStr">
        <is>
          <t>Mở rộng nội bộ; cần giáo viên duyệt.</t>
        </is>
      </c>
      <c r="AD34" s="3" t="inlineStr">
        <is>
          <t>Chương trình GDPT 2018 / kế hoạch dạy học của trường; đối chiếu văn bản hiện hành</t>
        </is>
      </c>
      <c r="AE34" s="3" t="inlineStr">
        <is>
          <t>Bản mẫu — cần rà soát</t>
        </is>
      </c>
      <c r="AF34" s="3" t="inlineStr">
        <is>
          <t>Chờ giáo viên duyệt</t>
        </is>
      </c>
      <c r="AG34" s="3" t="n"/>
    </row>
    <row r="35">
      <c r="A35" s="3" t="inlineStr">
        <is>
          <t>EC1-030</t>
        </is>
      </c>
      <c r="B35" s="3" t="inlineStr">
        <is>
          <t>Tiếng Việt</t>
        </is>
      </c>
      <c r="C35" s="22" t="n">
        <v>1</v>
      </c>
      <c r="D35" s="3" t="inlineStr">
        <is>
          <t>Sau khi luyện viết câu ngắn</t>
        </is>
      </c>
      <c r="E35" s="3" t="inlineStr">
        <is>
          <t>Tạo câu</t>
        </is>
      </c>
      <c r="F35" s="23" t="n">
        <v>5</v>
      </c>
      <c r="G35" s="3" t="inlineStr">
        <is>
          <t>Mở rộng</t>
        </is>
      </c>
      <c r="H35" s="22" t="n"/>
      <c r="I35" s="3" t="n"/>
      <c r="J35" s="3" t="inlineStr">
        <is>
          <t>Trả lời ngắn</t>
        </is>
      </c>
      <c r="K35" s="3" t="inlineStr">
        <is>
          <t>Viết một câu ngắn có từ “mẹ”.</t>
        </is>
      </c>
      <c r="L35" s="3" t="n"/>
      <c r="M35" s="3" t="n"/>
      <c r="N35" s="3" t="n"/>
      <c r="O35" s="3" t="n"/>
      <c r="P35" s="3" t="n"/>
      <c r="Q35" s="3" t="inlineStr">
        <is>
          <t>Ví dụ: Mẹ yêu em.</t>
        </is>
      </c>
      <c r="R35" s="3" t="inlineStr">
        <is>
          <t>Chấp nhận nhiều câu phù hợp; cần rubric chấm.</t>
        </is>
      </c>
      <c r="S35" s="3" t="inlineStr">
        <is>
          <t>Ai? – Mẹ. Làm gì? – yêu em. Câu: Mẹ yêu em. (Khi viết câu tự do, giáo viên chấm theo rubric.)</t>
        </is>
      </c>
      <c r="T35" s="22" t="n">
        <v>90</v>
      </c>
      <c r="U35" s="22">
        <f>INDEX(Khung_cap_do!$H$2:$H$6,F35)</f>
        <v/>
      </c>
      <c r="V35" s="22" t="n">
        <v>1</v>
      </c>
      <c r="W35" s="22" t="n">
        <v>10</v>
      </c>
      <c r="X35" s="3" t="inlineStr">
        <is>
          <t>V1.VIET.03</t>
        </is>
      </c>
      <c r="Y35" s="3" t="inlineStr">
        <is>
          <t>TV.XEPCAU</t>
        </is>
      </c>
      <c r="Z35" s="3" t="inlineStr">
        <is>
          <t>Bộ mẫu</t>
        </is>
      </c>
      <c r="AA35" s="3" t="inlineStr">
        <is>
          <t>[Sắp xếp] Xếp thành câu có từ "mẹ": "yêu / em / Mẹ".
Đáp án: Mẹ → yêu → em
Ghi chú: Bản gốc là viết câu tự do (giáo viên chấm theo rubric); bản app là xếp từ thành câu.</t>
        </is>
      </c>
      <c r="AB35" s="3" t="inlineStr">
        <is>
          <t>Các chữ/tiếng trong câu đã học.</t>
        </is>
      </c>
      <c r="AC35" s="3" t="inlineStr">
        <is>
          <t>Không chấm chỉ bằng so khớp chuỗi; giáo viên duyệt rubric.</t>
        </is>
      </c>
      <c r="AD35" s="3" t="inlineStr">
        <is>
          <t>Chương trình GDPT 2018 / kế hoạch dạy học của trường; đối chiếu văn bản hiện hành</t>
        </is>
      </c>
      <c r="AE35" s="3" t="inlineStr">
        <is>
          <t>Bản mẫu — cần rà soát</t>
        </is>
      </c>
      <c r="AF35" s="3" t="inlineStr">
        <is>
          <t>Chờ giáo viên duyệt</t>
        </is>
      </c>
      <c r="AG35" s="3" t="n"/>
    </row>
    <row r="36">
      <c r="A36" s="3" t="inlineStr">
        <is>
          <t>EC1-090</t>
        </is>
      </c>
      <c r="B36" s="3" t="inlineStr">
        <is>
          <t>Tiếng Việt</t>
        </is>
      </c>
      <c r="C36" s="22" t="n">
        <v>1</v>
      </c>
      <c r="D36" s="3" t="inlineStr">
        <is>
          <t>Sau khi học vần ươi, ung, uôt</t>
        </is>
      </c>
      <c r="E36" s="3" t="inlineStr">
        <is>
          <t>Suy luận đơn giản</t>
        </is>
      </c>
      <c r="F36" s="23" t="n">
        <v>5</v>
      </c>
      <c r="G36" s="3" t="inlineStr">
        <is>
          <t>Mở rộng</t>
        </is>
      </c>
      <c r="H36" s="22" t="n"/>
      <c r="I36" s="3" t="n"/>
      <c r="J36" s="3" t="inlineStr">
        <is>
          <t>Chọn đáp án</t>
        </is>
      </c>
      <c r="K36" s="3" t="inlineStr">
        <is>
          <t>Đọc: "Mèo nằm sưởi nắng bên thềm. Thấy chuột, mèo vùng dậy." Vì sao mèo vùng dậy?</t>
        </is>
      </c>
      <c r="L36" s="3" t="inlineStr">
        <is>
          <t>Vì thấy chuột</t>
        </is>
      </c>
      <c r="M36" s="3" t="inlineStr">
        <is>
          <t>Vì trời mưa</t>
        </is>
      </c>
      <c r="N36" s="3" t="inlineStr">
        <is>
          <t>Vì bé gọi</t>
        </is>
      </c>
      <c r="O36" s="3" t="n"/>
      <c r="P36" s="3" t="n"/>
      <c r="Q36" s="3" t="inlineStr">
        <is>
          <t>A</t>
        </is>
      </c>
      <c r="R36" s="3" t="inlineStr">
        <is>
          <t>Câu thứ hai: thấy chuột, mèo vùng dậy.</t>
        </is>
      </c>
      <c r="S36" s="3" t="inlineStr">
        <is>
          <t>Mèo đang nằm sưởi nắng. "Thấy chuột, mèo vùng dậy" cho biết lý do là mèo thấy chuột.</t>
        </is>
      </c>
      <c r="T36" s="22" t="n">
        <v>85</v>
      </c>
      <c r="U36" s="22">
        <f>INDEX(Khung_cap_do!$H$2:$H$6,F36)</f>
        <v/>
      </c>
      <c r="V36" s="22" t="n">
        <v>2</v>
      </c>
      <c r="W36" s="22" t="n">
        <v>9</v>
      </c>
      <c r="X36" s="3" t="inlineStr">
        <is>
          <t>V1.DOC.04</t>
        </is>
      </c>
      <c r="Y36" s="3" t="inlineStr">
        <is>
          <t>TV.DOCHIEU</t>
        </is>
      </c>
      <c r="Z36" s="3" t="inlineStr">
        <is>
          <t>Soạn thêm</t>
        </is>
      </c>
      <c r="AA36" s="3" t="inlineStr"/>
      <c r="AB36" s="3" t="inlineStr">
        <is>
          <t>Đã đọc được đoạn hai câu.</t>
        </is>
      </c>
      <c r="AC36" s="3" t="inlineStr">
        <is>
          <t>Chương trình GDPT 2018 – Tiếng Việt 1; đối chiếu SGK Kết nối tri thức (Tập 1).</t>
        </is>
      </c>
      <c r="AD36" s="3" t="inlineStr">
        <is>
          <t>EduChain Kids soạn thêm (2026-10); bám chương trình GDPT 2018 và trình tự SGK đã chọn</t>
        </is>
      </c>
      <c r="AE36" s="3" t="inlineStr">
        <is>
          <t>Bản soạn mới — cần rà soát</t>
        </is>
      </c>
      <c r="AF36" s="3" t="inlineStr">
        <is>
          <t>Chờ giáo viên duyệt</t>
        </is>
      </c>
      <c r="AG36" s="3" t="n"/>
    </row>
    <row r="37">
      <c r="A37" s="3" t="inlineStr">
        <is>
          <t>EC1-091</t>
        </is>
      </c>
      <c r="B37" s="3" t="inlineStr">
        <is>
          <t>Tiếng Việt</t>
        </is>
      </c>
      <c r="C37" s="22" t="n">
        <v>1</v>
      </c>
      <c r="D37" s="3" t="inlineStr">
        <is>
          <t>Sau khi học vần ưc, anh, ăng</t>
        </is>
      </c>
      <c r="E37" s="3" t="inlineStr">
        <is>
          <t>Trình tự sự việc</t>
        </is>
      </c>
      <c r="F37" s="23" t="n">
        <v>5</v>
      </c>
      <c r="G37" s="3" t="inlineStr">
        <is>
          <t>Mở rộng</t>
        </is>
      </c>
      <c r="H37" s="22" t="n"/>
      <c r="I37" s="3" t="n"/>
      <c r="J37" s="3" t="inlineStr">
        <is>
          <t>Sắp xếp</t>
        </is>
      </c>
      <c r="K37" s="3" t="inlineStr">
        <is>
          <t>Xếp các câu theo đúng thứ tự việc làm buổi sáng.
(Các mục: Bé thức dậy. / Bé ăn sáng. / Bé đi học. / Bé đánh răng.)</t>
        </is>
      </c>
      <c r="L37" s="3" t="n"/>
      <c r="M37" s="3" t="n"/>
      <c r="N37" s="3" t="n"/>
      <c r="O37" s="3" t="n"/>
      <c r="P37" s="3" t="n"/>
      <c r="Q37" s="3" t="inlineStr">
        <is>
          <t>Bé thức dậy. → Bé đánh răng. → Bé ăn sáng. → Bé đi học.</t>
        </is>
      </c>
      <c r="R37" s="3" t="inlineStr">
        <is>
          <t>Thức dậy → đánh răng → ăn sáng → đi học.</t>
        </is>
      </c>
      <c r="S37" s="3" t="inlineStr">
        <is>
          <t>Việc đầu tiên là thức dậy, rồi đánh răng, ăn sáng, sau cùng mới đi học.</t>
        </is>
      </c>
      <c r="T37" s="22" t="n">
        <v>90</v>
      </c>
      <c r="U37" s="22">
        <f>INDEX(Khung_cap_do!$H$2:$H$6,F37)</f>
        <v/>
      </c>
      <c r="V37" s="22" t="n">
        <v>2</v>
      </c>
      <c r="W37" s="22" t="n">
        <v>10</v>
      </c>
      <c r="X37" s="3" t="inlineStr">
        <is>
          <t>V1.DOC.06</t>
        </is>
      </c>
      <c r="Y37" s="3" t="inlineStr">
        <is>
          <t>TV.XEPCAU</t>
        </is>
      </c>
      <c r="Z37" s="3" t="inlineStr">
        <is>
          <t>Soạn thêm</t>
        </is>
      </c>
      <c r="AA37" s="3" t="inlineStr"/>
      <c r="AB37" s="3" t="inlineStr">
        <is>
          <t>Đã đọc được câu ngắn.</t>
        </is>
      </c>
      <c r="AC37" s="3" t="inlineStr">
        <is>
          <t>Chương trình GDPT 2018 – Tiếng Việt 1; đối chiếu SGK Kết nối tri thức (Tập 1).</t>
        </is>
      </c>
      <c r="AD37" s="3" t="inlineStr">
        <is>
          <t>EduChain Kids soạn thêm (2026-10); bám chương trình GDPT 2018 và trình tự SGK đã chọn</t>
        </is>
      </c>
      <c r="AE37" s="3" t="inlineStr">
        <is>
          <t>Bản soạn mới — cần rà soát</t>
        </is>
      </c>
      <c r="AF37" s="3" t="inlineStr">
        <is>
          <t>Chờ giáo viên duyệt</t>
        </is>
      </c>
      <c r="AG37" s="3" t="n"/>
    </row>
    <row r="38">
      <c r="A38" s="3" t="inlineStr">
        <is>
          <t>EC1-092</t>
        </is>
      </c>
      <c r="B38" s="3" t="inlineStr">
        <is>
          <t>Tiếng Việt</t>
        </is>
      </c>
      <c r="C38" s="22" t="n">
        <v>1</v>
      </c>
      <c r="D38" s="3" t="inlineStr">
        <is>
          <t>Sau khi học vần an, ăn, ân</t>
        </is>
      </c>
      <c r="E38" s="3" t="inlineStr">
        <is>
          <t>Phân biệt vần</t>
        </is>
      </c>
      <c r="F38" s="23" t="n">
        <v>5</v>
      </c>
      <c r="G38" s="3" t="inlineStr">
        <is>
          <t>Mở rộng</t>
        </is>
      </c>
      <c r="H38" s="22" t="n"/>
      <c r="I38" s="3" t="n"/>
      <c r="J38" s="3" t="inlineStr">
        <is>
          <t>Chọn nhiều đáp án</t>
        </is>
      </c>
      <c r="K38" s="3" t="inlineStr">
        <is>
          <t>Chọn TẤT CẢ tiếng có vần "an".</t>
        </is>
      </c>
      <c r="L38" s="3" t="inlineStr">
        <is>
          <t>bàn</t>
        </is>
      </c>
      <c r="M38" s="3" t="inlineStr">
        <is>
          <t>cân</t>
        </is>
      </c>
      <c r="N38" s="3" t="inlineStr">
        <is>
          <t>lan</t>
        </is>
      </c>
      <c r="O38" s="3" t="inlineStr">
        <is>
          <t>sàn</t>
        </is>
      </c>
      <c r="P38" s="3" t="n"/>
      <c r="Q38" s="3" t="inlineStr">
        <is>
          <t>A, C, D</t>
        </is>
      </c>
      <c r="R38" s="3" t="inlineStr">
        <is>
          <t>bàn, lan, sàn có vần an; cân có vần ân.</t>
        </is>
      </c>
      <c r="S38" s="3" t="inlineStr">
        <is>
          <t>Tách vần: b–an, c–ân, l–an, s–an. "Cân" là vần ân nên không chọn.</t>
        </is>
      </c>
      <c r="T38" s="22" t="n">
        <v>85</v>
      </c>
      <c r="U38" s="22">
        <f>INDEX(Khung_cap_do!$H$2:$H$6,F38)</f>
        <v/>
      </c>
      <c r="V38" s="22" t="n">
        <v>3</v>
      </c>
      <c r="W38" s="22" t="n">
        <v>9</v>
      </c>
      <c r="X38" s="3" t="inlineStr">
        <is>
          <t>V1.AM.03</t>
        </is>
      </c>
      <c r="Y38" s="3" t="inlineStr">
        <is>
          <t>TV.GHEPVAN</t>
        </is>
      </c>
      <c r="Z38" s="3" t="inlineStr">
        <is>
          <t>Soạn thêm</t>
        </is>
      </c>
      <c r="AA38" s="3" t="inlineStr"/>
      <c r="AB38" s="3" t="inlineStr">
        <is>
          <t>Đã học vần an, ăn, ân.</t>
        </is>
      </c>
      <c r="AC38" s="3" t="inlineStr">
        <is>
          <t>Chương trình GDPT 2018 – Tiếng Việt 1; đối chiếu SGK Kết nối tri thức (Tập 1).</t>
        </is>
      </c>
      <c r="AD38" s="3" t="inlineStr">
        <is>
          <t>EduChain Kids soạn thêm (2026-10); bám chương trình GDPT 2018 và trình tự SGK đã chọn</t>
        </is>
      </c>
      <c r="AE38" s="3" t="inlineStr">
        <is>
          <t>Bản soạn mới — cần rà soát</t>
        </is>
      </c>
      <c r="AF38" s="3" t="inlineStr">
        <is>
          <t>Chờ giáo viên duyệt</t>
        </is>
      </c>
      <c r="AG38" s="3" t="n"/>
    </row>
    <row r="39">
      <c r="A39" s="3" t="inlineStr">
        <is>
          <t>EC1-093</t>
        </is>
      </c>
      <c r="B39" s="3" t="inlineStr">
        <is>
          <t>Tiếng Việt</t>
        </is>
      </c>
      <c r="C39" s="22" t="n">
        <v>1</v>
      </c>
      <c r="D39" s="3" t="inlineStr">
        <is>
          <t>Sau khi học vần ươi, ây, anh</t>
        </is>
      </c>
      <c r="E39" s="3" t="inlineStr">
        <is>
          <t>Suy luận đơn giản</t>
        </is>
      </c>
      <c r="F39" s="23" t="n">
        <v>5</v>
      </c>
      <c r="G39" s="3" t="inlineStr">
        <is>
          <t>Mở rộng</t>
        </is>
      </c>
      <c r="H39" s="22" t="n"/>
      <c r="I39" s="3" t="n"/>
      <c r="J39" s="3" t="inlineStr">
        <is>
          <t>Chọn đáp án</t>
        </is>
      </c>
      <c r="K39" s="3" t="inlineStr">
        <is>
          <t>Đọc: "Hà tưới cây mỗi ngày. Cây lớn nhanh và ra hoa đỏ." Vì sao cây lớn nhanh?</t>
        </is>
      </c>
      <c r="L39" s="3" t="inlineStr">
        <is>
          <t>Vì Hà tưới cây mỗi ngày</t>
        </is>
      </c>
      <c r="M39" s="3" t="inlineStr">
        <is>
          <t>Vì cây ở trong nhà</t>
        </is>
      </c>
      <c r="N39" s="3" t="inlineStr">
        <is>
          <t>Vì hoa màu đỏ</t>
        </is>
      </c>
      <c r="O39" s="3" t="n"/>
      <c r="P39" s="3" t="n"/>
      <c r="Q39" s="3" t="inlineStr">
        <is>
          <t>A</t>
        </is>
      </c>
      <c r="R39" s="3" t="inlineStr">
        <is>
          <t>Cây được tưới mỗi ngày nên lớn nhanh.</t>
        </is>
      </c>
      <c r="S39" s="3" t="inlineStr">
        <is>
          <t>Câu đầu cho biết Hà tưới cây mỗi ngày. Cây được chăm tưới nên lớn nhanh.</t>
        </is>
      </c>
      <c r="T39" s="22" t="n">
        <v>85</v>
      </c>
      <c r="U39" s="22">
        <f>INDEX(Khung_cap_do!$H$2:$H$6,F39)</f>
        <v/>
      </c>
      <c r="V39" s="22" t="n">
        <v>3</v>
      </c>
      <c r="W39" s="22" t="n">
        <v>10</v>
      </c>
      <c r="X39" s="3" t="inlineStr">
        <is>
          <t>V1.DOC.04</t>
        </is>
      </c>
      <c r="Y39" s="3" t="inlineStr">
        <is>
          <t>TV.DOCHIEU</t>
        </is>
      </c>
      <c r="Z39" s="3" t="inlineStr">
        <is>
          <t>Soạn thêm</t>
        </is>
      </c>
      <c r="AA39" s="3" t="inlineStr"/>
      <c r="AB39" s="3" t="inlineStr">
        <is>
          <t>Đã đọc được đoạn hai câu.</t>
        </is>
      </c>
      <c r="AC39" s="3" t="inlineStr">
        <is>
          <t>Chương trình GDPT 2018 – Tiếng Việt 1; đối chiếu SGK Kết nối tri thức (Tập 1).</t>
        </is>
      </c>
      <c r="AD39" s="3" t="inlineStr">
        <is>
          <t>EduChain Kids soạn thêm (2026-10); bám chương trình GDPT 2018 và trình tự SGK đã chọn</t>
        </is>
      </c>
      <c r="AE39" s="3" t="inlineStr">
        <is>
          <t>Bản soạn mới — cần rà soát</t>
        </is>
      </c>
      <c r="AF39" s="3" t="inlineStr">
        <is>
          <t>Chờ giáo viên duyệt</t>
        </is>
      </c>
      <c r="AG39" s="3" t="n"/>
    </row>
    <row r="40">
      <c r="A40" s="3" t="inlineStr">
        <is>
          <t>EC1-094</t>
        </is>
      </c>
      <c r="B40" s="3" t="inlineStr">
        <is>
          <t>Tiếng Việt</t>
        </is>
      </c>
      <c r="C40" s="22" t="n">
        <v>1</v>
      </c>
      <c r="D40" s="3" t="inlineStr">
        <is>
          <t>Cuối học kì 1 (mở rộng)</t>
        </is>
      </c>
      <c r="E40" s="3" t="inlineStr">
        <is>
          <t>Câu tục ngữ quen thuộc</t>
        </is>
      </c>
      <c r="F40" s="23" t="n">
        <v>5</v>
      </c>
      <c r="G40" s="3" t="inlineStr">
        <is>
          <t>Mở rộng</t>
        </is>
      </c>
      <c r="H40" s="22" t="n"/>
      <c r="I40" s="3" t="n"/>
      <c r="J40" s="3" t="inlineStr">
        <is>
          <t>Điền đáp án</t>
        </is>
      </c>
      <c r="K40" s="3" t="inlineStr">
        <is>
          <t>Điền tiếng còn thiếu: "Ăn quả nhớ kẻ trồng ..."</t>
        </is>
      </c>
      <c r="L40" s="3" t="n"/>
      <c r="M40" s="3" t="n"/>
      <c r="N40" s="3" t="n"/>
      <c r="O40" s="3" t="n"/>
      <c r="P40" s="3" t="n"/>
      <c r="Q40" s="3" t="inlineStr">
        <is>
          <t>cây</t>
        </is>
      </c>
      <c r="R40" s="3" t="inlineStr">
        <is>
          <t>Ăn quả nhớ kẻ trồng cây.</t>
        </is>
      </c>
      <c r="S40" s="3" t="inlineStr">
        <is>
          <t>Quả mọc trên cây, người trồng cây cho ta quả ăn: "Ăn quả nhớ kẻ trồng cây."</t>
        </is>
      </c>
      <c r="T40" s="22" t="n">
        <v>85</v>
      </c>
      <c r="U40" s="22">
        <f>INDEX(Khung_cap_do!$H$2:$H$6,F40)</f>
        <v/>
      </c>
      <c r="V40" s="22" t="n">
        <v>4</v>
      </c>
      <c r="W40" s="22" t="n">
        <v>9</v>
      </c>
      <c r="X40" s="3" t="inlineStr">
        <is>
          <t>V1.VIET.06</t>
        </is>
      </c>
      <c r="Y40" s="3" t="inlineStr">
        <is>
          <t>TV.GHEPVAN</t>
        </is>
      </c>
      <c r="Z40" s="3" t="inlineStr">
        <is>
          <t>Soạn thêm</t>
        </is>
      </c>
      <c r="AA40" s="3" t="inlineStr"/>
      <c r="AB40" s="3" t="inlineStr">
        <is>
          <t>Đã đọc được các tiếng trong câu.</t>
        </is>
      </c>
      <c r="AC40" s="3" t="inlineStr">
        <is>
          <t>Chương trình GDPT 2018 – Tiếng Việt 1; đối chiếu SGK Kết nối tri thức (Tập 1).</t>
        </is>
      </c>
      <c r="AD40" s="3" t="inlineStr">
        <is>
          <t>EduChain Kids soạn thêm (2026-10); bám chương trình GDPT 2018 và trình tự SGK đã chọn</t>
        </is>
      </c>
      <c r="AE40" s="3" t="inlineStr">
        <is>
          <t>Bản soạn mới — cần rà soát</t>
        </is>
      </c>
      <c r="AF40" s="3" t="inlineStr">
        <is>
          <t>Chờ giáo viên duyệt</t>
        </is>
      </c>
      <c r="AG40" s="3" t="n"/>
    </row>
    <row r="41">
      <c r="A41" s="3" t="inlineStr">
        <is>
          <t>EC1-095</t>
        </is>
      </c>
      <c r="B41" s="3" t="inlineStr">
        <is>
          <t>Tiếng Việt</t>
        </is>
      </c>
      <c r="C41" s="22" t="n">
        <v>1</v>
      </c>
      <c r="D41" s="3" t="inlineStr">
        <is>
          <t>Cuối học kì 1 (mở rộng)</t>
        </is>
      </c>
      <c r="E41" s="3" t="inlineStr">
        <is>
          <t>Từ ngữ chỉ đặc điểm</t>
        </is>
      </c>
      <c r="F41" s="23" t="n">
        <v>5</v>
      </c>
      <c r="G41" s="3" t="inlineStr">
        <is>
          <t>Mở rộng</t>
        </is>
      </c>
      <c r="H41" s="22" t="n"/>
      <c r="I41" s="3" t="n"/>
      <c r="J41" s="3" t="inlineStr">
        <is>
          <t>Ghép cặp</t>
        </is>
      </c>
      <c r="K41" s="3" t="inlineStr">
        <is>
          <t>Nối từ với từ có nghĩa ngược lại.
(Vế trái: to / cao / dài · Vế phải: ngắn / nhỏ / thấp)</t>
        </is>
      </c>
      <c r="L41" s="3" t="n"/>
      <c r="M41" s="3" t="n"/>
      <c r="N41" s="3" t="n"/>
      <c r="O41" s="3" t="n"/>
      <c r="P41" s="3" t="n"/>
      <c r="Q41" s="3" t="inlineStr">
        <is>
          <t>to – nhỏ; cao – thấp; dài – ngắn</t>
        </is>
      </c>
      <c r="R41" s="3" t="inlineStr">
        <is>
          <t>to – nhỏ, cao – thấp, dài – ngắn.</t>
        </is>
      </c>
      <c r="S41" s="3" t="inlineStr">
        <is>
          <t>Cái to ngược với cái nhỏ; cao ngược với thấp; dài ngược với ngắn.</t>
        </is>
      </c>
      <c r="T41" s="22" t="n">
        <v>90</v>
      </c>
      <c r="U41" s="22">
        <f>INDEX(Khung_cap_do!$H$2:$H$6,F41)</f>
        <v/>
      </c>
      <c r="V41" s="22" t="n">
        <v>4</v>
      </c>
      <c r="W41" s="22" t="n">
        <v>10</v>
      </c>
      <c r="X41" s="3" t="inlineStr">
        <is>
          <t>V1.VIET.04</t>
        </is>
      </c>
      <c r="Y41" s="3" t="inlineStr">
        <is>
          <t>TV.NOITU</t>
        </is>
      </c>
      <c r="Z41" s="3" t="inlineStr">
        <is>
          <t>Soạn thêm</t>
        </is>
      </c>
      <c r="AA41" s="3" t="inlineStr"/>
      <c r="AB41" s="3" t="inlineStr">
        <is>
          <t>Đã đọc được các từ trong bài.</t>
        </is>
      </c>
      <c r="AC41" s="3" t="inlineStr">
        <is>
          <t>Chương trình GDPT 2018 – Tiếng Việt 1; đối chiếu SGK Kết nối tri thức (Tập 1).</t>
        </is>
      </c>
      <c r="AD41" s="3" t="inlineStr">
        <is>
          <t>EduChain Kids soạn thêm (2026-10); bám chương trình GDPT 2018 và trình tự SGK đã chọn</t>
        </is>
      </c>
      <c r="AE41" s="3" t="inlineStr">
        <is>
          <t>Bản soạn mới — cần rà soát</t>
        </is>
      </c>
      <c r="AF41" s="3" t="inlineStr">
        <is>
          <t>Chờ giáo viên duyệt</t>
        </is>
      </c>
      <c r="AG41" s="3" t="n"/>
    </row>
  </sheetData>
  <conditionalFormatting sqref="A2:AG41">
    <cfRule type="expression" priority="1" dxfId="0">
      <formula>$F2=1</formula>
    </cfRule>
    <cfRule type="expression" priority="2" dxfId="1">
      <formula>$F2=2</formula>
    </cfRule>
    <cfRule type="expression" priority="3" dxfId="2">
      <formula>$F2=3</formula>
    </cfRule>
    <cfRule type="expression" priority="4" dxfId="3">
      <formula>$F2=4</formula>
    </cfRule>
    <cfRule type="expression" priority="5" dxfId="4">
      <formula>$F2=5</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G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6" customWidth="1" min="3" max="3"/>
    <col width="24" customWidth="1" min="4" max="4"/>
    <col width="20" customWidth="1" min="5" max="5"/>
    <col width="8" customWidth="1" min="6" max="6"/>
    <col width="12" customWidth="1" min="7" max="7"/>
    <col width="10" customWidth="1" min="8" max="8"/>
    <col width="30" customWidth="1" min="9" max="9"/>
    <col width="14" customWidth="1" min="10" max="10"/>
    <col width="46" customWidth="1" min="11" max="11"/>
    <col width="16" customWidth="1" min="12" max="12"/>
    <col width="16" customWidth="1" min="13" max="13"/>
    <col width="16" customWidth="1" min="14" max="14"/>
    <col width="16" customWidth="1" min="15" max="15"/>
    <col width="12" customWidth="1" min="16" max="16"/>
    <col width="22" customWidth="1" min="17" max="17"/>
    <col width="36" customWidth="1" min="18" max="18"/>
    <col width="40" customWidth="1" min="19" max="19"/>
    <col width="10" customWidth="1" min="20" max="20"/>
    <col width="9" customWidth="1" min="21" max="21"/>
    <col width="7" customWidth="1" min="22" max="22"/>
    <col width="8" customWidth="1" min="23" max="23"/>
    <col width="12" customWidth="1" min="24" max="24"/>
    <col width="14" customWidth="1" min="25" max="25"/>
    <col width="11" customWidth="1" min="26" max="26"/>
    <col width="40" customWidth="1" min="27" max="27"/>
    <col width="32" customWidth="1" min="28" max="28"/>
    <col width="36" customWidth="1" min="29" max="29"/>
    <col width="30" customWidth="1" min="30" max="30"/>
    <col width="20" customWidth="1" min="31" max="31"/>
    <col width="18" customWidth="1" min="32" max="32"/>
    <col width="30" customWidth="1" min="33" max="33"/>
  </cols>
  <sheetData>
    <row r="1" ht="34" customHeight="1">
      <c r="A1" s="1" t="inlineStr">
        <is>
          <t>ID</t>
        </is>
      </c>
      <c r="B1" s="1" t="inlineStr">
        <is>
          <t>Môn học</t>
        </is>
      </c>
      <c r="C1" s="1" t="inlineStr">
        <is>
          <t>Lớp</t>
        </is>
      </c>
      <c r="D1" s="1" t="inlineStr">
        <is>
          <t>Giai đoạn gợi ý</t>
        </is>
      </c>
      <c r="E1" s="1" t="inlineStr">
        <is>
          <t>Chủ đề / kỹ năng</t>
        </is>
      </c>
      <c r="F1" s="1" t="inlineStr">
        <is>
          <t>Cấp độ</t>
        </is>
      </c>
      <c r="G1" s="1" t="inlineStr">
        <is>
          <t>Tên cấp độ</t>
        </is>
      </c>
      <c r="H1" s="1" t="inlineStr">
        <is>
          <t>Cấp độ cũ (bộ mẫu)</t>
        </is>
      </c>
      <c r="I1" s="1" t="inlineStr">
        <is>
          <t>Lý do điều chỉnh cấp độ</t>
        </is>
      </c>
      <c r="J1" s="1" t="inlineStr">
        <is>
          <t>Loại câu hỏi</t>
        </is>
      </c>
      <c r="K1" s="1" t="inlineStr">
        <is>
          <t>Câu hỏi / nhiệm vụ</t>
        </is>
      </c>
      <c r="L1" s="1" t="inlineStr">
        <is>
          <t>Lựa chọn A</t>
        </is>
      </c>
      <c r="M1" s="1" t="inlineStr">
        <is>
          <t>Lựa chọn B</t>
        </is>
      </c>
      <c r="N1" s="1" t="inlineStr">
        <is>
          <t>Lựa chọn C</t>
        </is>
      </c>
      <c r="O1" s="1" t="inlineStr">
        <is>
          <t>Lựa chọn D</t>
        </is>
      </c>
      <c r="P1" s="1" t="inlineStr">
        <is>
          <t>Lựa chọn E</t>
        </is>
      </c>
      <c r="Q1" s="1" t="inlineStr">
        <is>
          <t>Đáp án đúng</t>
        </is>
      </c>
      <c r="R1" s="1" t="inlineStr">
        <is>
          <t>Lời giải / phản hồi</t>
        </is>
      </c>
      <c r="S1" s="1" t="inlineStr">
        <is>
          <t>Lời giải chi tiết</t>
        </is>
      </c>
      <c r="T1" s="1" t="inlineStr">
        <is>
          <t>Thời gian (giây)</t>
        </is>
      </c>
      <c r="U1" s="1" t="inlineStr">
        <is>
          <t>Điểm khi đúng</t>
        </is>
      </c>
      <c r="V1" s="1" t="inlineStr">
        <is>
          <t>Đề ôn</t>
        </is>
      </c>
      <c r="W1" s="1" t="inlineStr">
        <is>
          <t>Thứ tự trong đề</t>
        </is>
      </c>
      <c r="X1" s="1" t="inlineStr">
        <is>
          <t>Mã YCCĐ</t>
        </is>
      </c>
      <c r="Y1" s="1" t="inlineStr">
        <is>
          <t>Mã dạng bài</t>
        </is>
      </c>
      <c r="Z1" s="1" t="inlineStr">
        <is>
          <t>Nguồn câu</t>
        </is>
      </c>
      <c r="AA1" s="1" t="inlineStr">
        <is>
          <t>Bản dùng trong app (nếu khác câu gốc)</t>
        </is>
      </c>
      <c r="AB1" s="1" t="inlineStr">
        <is>
          <t>Điều kiện tiên quyết</t>
        </is>
      </c>
      <c r="AC1" s="1" t="inlineStr">
        <is>
          <t>Căn cứ chương trình / lưu ý đối chiếu</t>
        </is>
      </c>
      <c r="AD1" s="1" t="inlineStr">
        <is>
          <t>Nguồn / phạm vi</t>
        </is>
      </c>
      <c r="AE1" s="1" t="inlineStr">
        <is>
          <t>Trạng thái nội dung</t>
        </is>
      </c>
      <c r="AF1" s="1" t="inlineStr">
        <is>
          <t>Trạng thái giáo viên</t>
        </is>
      </c>
      <c r="AG1" s="1" t="inlineStr">
        <is>
          <t>Ghi chú kiểm duyệt</t>
        </is>
      </c>
    </row>
    <row r="2">
      <c r="A2" s="3" t="inlineStr">
        <is>
          <t>EC1-031</t>
        </is>
      </c>
      <c r="B2" s="3" t="inlineStr">
        <is>
          <t>Tiếng Anh</t>
        </is>
      </c>
      <c r="C2" s="22" t="n">
        <v>1</v>
      </c>
      <c r="D2" s="3" t="inlineStr">
        <is>
          <t>Theo chương trình trường lựa chọn</t>
        </is>
      </c>
      <c r="E2" s="3" t="inlineStr">
        <is>
          <t>Greetings</t>
        </is>
      </c>
      <c r="F2" s="23" t="n">
        <v>1</v>
      </c>
      <c r="G2" s="3" t="inlineStr">
        <is>
          <t>Làm quen</t>
        </is>
      </c>
      <c r="H2" s="22" t="n"/>
      <c r="I2" s="3" t="n"/>
      <c r="J2" s="3" t="inlineStr">
        <is>
          <t>Chọn đáp án</t>
        </is>
      </c>
      <c r="K2" s="3" t="inlineStr">
        <is>
          <t>Nghe “Hello”. Chọn lời chào phù hợp.</t>
        </is>
      </c>
      <c r="L2" s="3" t="inlineStr">
        <is>
          <t>Hello</t>
        </is>
      </c>
      <c r="M2" s="3" t="inlineStr">
        <is>
          <t>Goodbye</t>
        </is>
      </c>
      <c r="N2" s="3" t="inlineStr">
        <is>
          <t>Thank you</t>
        </is>
      </c>
      <c r="O2" s="3" t="n"/>
      <c r="P2" s="3" t="n"/>
      <c r="Q2" s="3" t="inlineStr">
        <is>
          <t>A</t>
        </is>
      </c>
      <c r="R2" s="3" t="inlineStr">
        <is>
          <t>Hello là lời chào.</t>
        </is>
      </c>
      <c r="S2" s="3" t="n"/>
      <c r="T2" s="22" t="n">
        <v>30</v>
      </c>
      <c r="U2" s="22">
        <f>INDEX(Khung_cap_do!$H$2:$H$6,F2)</f>
        <v/>
      </c>
      <c r="V2" s="22" t="n">
        <v>1</v>
      </c>
      <c r="W2" s="22" t="n">
        <v>1</v>
      </c>
      <c r="X2" s="3" t="inlineStr">
        <is>
          <t>A1.HELLO.01</t>
        </is>
      </c>
      <c r="Y2" s="3" t="inlineStr">
        <is>
          <t>TA.TUVUNG</t>
        </is>
      </c>
      <c r="Z2" s="3" t="inlineStr">
        <is>
          <t>Bộ mẫu</t>
        </is>
      </c>
      <c r="AA2" s="3" t="inlineStr">
        <is>
          <t>[Chọn đáp án] Nghe "Hello". Chọn lời chào phù hợp.
A. Hello | B. Goodbye | C. Thank you
Đáp án: A</t>
        </is>
      </c>
      <c r="AB2" s="3" t="inlineStr">
        <is>
          <t>Từ Hello đã được dạy.</t>
        </is>
      </c>
      <c r="AC2" s="3" t="inlineStr">
        <is>
          <t>Tiếng Anh lớp 1 phụ thuộc kế hoạch/giáo trình của trường.</t>
        </is>
      </c>
      <c r="AD2" s="3" t="inlineStr">
        <is>
          <t>Chương trình GDPT 2018 / kế hoạch dạy học của trường; đối chiếu văn bản hiện hành</t>
        </is>
      </c>
      <c r="AE2" s="3" t="inlineStr">
        <is>
          <t>Bản mẫu — cần rà soát</t>
        </is>
      </c>
      <c r="AF2" s="3" t="inlineStr">
        <is>
          <t>Chờ giáo viên duyệt</t>
        </is>
      </c>
      <c r="AG2" s="3" t="inlineStr">
        <is>
          <t>Cần bổ sung audio được kiểm duyệt.</t>
        </is>
      </c>
    </row>
    <row r="3">
      <c r="A3" s="3" t="inlineStr">
        <is>
          <t>EC1-032</t>
        </is>
      </c>
      <c r="B3" s="3" t="inlineStr">
        <is>
          <t>Tiếng Anh</t>
        </is>
      </c>
      <c r="C3" s="22" t="n">
        <v>1</v>
      </c>
      <c r="D3" s="3" t="inlineStr">
        <is>
          <t>Theo chương trình trường lựa chọn</t>
        </is>
      </c>
      <c r="E3" s="3" t="inlineStr">
        <is>
          <t>Colours</t>
        </is>
      </c>
      <c r="F3" s="23" t="n">
        <v>1</v>
      </c>
      <c r="G3" s="3" t="inlineStr">
        <is>
          <t>Làm quen</t>
        </is>
      </c>
      <c r="H3" s="22" t="n"/>
      <c r="I3" s="3" t="n"/>
      <c r="J3" s="3" t="inlineStr">
        <is>
          <t>Chọn đáp án</t>
        </is>
      </c>
      <c r="K3" s="3" t="inlineStr">
        <is>
          <t>Nghe “red”. Chọn màu phù hợp.</t>
        </is>
      </c>
      <c r="L3" s="3" t="inlineStr">
        <is>
          <t>Đỏ</t>
        </is>
      </c>
      <c r="M3" s="3" t="inlineStr">
        <is>
          <t>Xanh dương</t>
        </is>
      </c>
      <c r="N3" s="3" t="inlineStr">
        <is>
          <t>Vàng</t>
        </is>
      </c>
      <c r="O3" s="3" t="n"/>
      <c r="P3" s="3" t="n"/>
      <c r="Q3" s="3" t="inlineStr">
        <is>
          <t>A</t>
        </is>
      </c>
      <c r="R3" s="3" t="inlineStr">
        <is>
          <t>Red nghĩa là màu đỏ.</t>
        </is>
      </c>
      <c r="S3" s="3" t="n"/>
      <c r="T3" s="22" t="n">
        <v>30</v>
      </c>
      <c r="U3" s="22">
        <f>INDEX(Khung_cap_do!$H$2:$H$6,F3)</f>
        <v/>
      </c>
      <c r="V3" s="22" t="n">
        <v>1</v>
      </c>
      <c r="W3" s="22" t="n">
        <v>2</v>
      </c>
      <c r="X3" s="3" t="inlineStr">
        <is>
          <t>A1.COLOUR.01</t>
        </is>
      </c>
      <c r="Y3" s="3" t="inlineStr">
        <is>
          <t>TA.TUVUNG</t>
        </is>
      </c>
      <c r="Z3" s="3" t="inlineStr">
        <is>
          <t>Bộ mẫu</t>
        </is>
      </c>
      <c r="AA3" s="3" t="inlineStr">
        <is>
          <t>[Chọn đáp án] Nghe "red". Chọn màu phù hợp.
A. Đỏ | B. Xanh dương | C. Vàng
Đáp án: A</t>
        </is>
      </c>
      <c r="AB3" s="3" t="inlineStr">
        <is>
          <t>Red đã được dạy.</t>
        </is>
      </c>
      <c r="AC3" s="3" t="inlineStr">
        <is>
          <t>Bài mẫu tùy theo chương trình tiếng Anh trường chọn.</t>
        </is>
      </c>
      <c r="AD3" s="3" t="inlineStr">
        <is>
          <t>Chương trình GDPT 2018 / kế hoạch dạy học của trường; đối chiếu văn bản hiện hành</t>
        </is>
      </c>
      <c r="AE3" s="3" t="inlineStr">
        <is>
          <t>Bản mẫu — cần rà soát</t>
        </is>
      </c>
      <c r="AF3" s="3" t="inlineStr">
        <is>
          <t>Chờ giáo viên duyệt</t>
        </is>
      </c>
      <c r="AG3" s="3" t="n"/>
    </row>
    <row r="4">
      <c r="A4" s="3" t="inlineStr">
        <is>
          <t>EC1-033</t>
        </is>
      </c>
      <c r="B4" s="3" t="inlineStr">
        <is>
          <t>Tiếng Anh</t>
        </is>
      </c>
      <c r="C4" s="22" t="n">
        <v>1</v>
      </c>
      <c r="D4" s="3" t="inlineStr">
        <is>
          <t>Theo chương trình trường lựa chọn</t>
        </is>
      </c>
      <c r="E4" s="3" t="inlineStr">
        <is>
          <t>Numbers</t>
        </is>
      </c>
      <c r="F4" s="23" t="n">
        <v>1</v>
      </c>
      <c r="G4" s="3" t="inlineStr">
        <is>
          <t>Làm quen</t>
        </is>
      </c>
      <c r="H4" s="22" t="n"/>
      <c r="I4" s="3" t="n"/>
      <c r="J4" s="3" t="inlineStr">
        <is>
          <t>Chọn đáp án</t>
        </is>
      </c>
      <c r="K4" s="3" t="inlineStr">
        <is>
          <t>Which number is “two”?</t>
        </is>
      </c>
      <c r="L4" s="3" t="inlineStr">
        <is>
          <t>1</t>
        </is>
      </c>
      <c r="M4" s="3" t="inlineStr">
        <is>
          <t>2</t>
        </is>
      </c>
      <c r="N4" s="3" t="inlineStr">
        <is>
          <t>3</t>
        </is>
      </c>
      <c r="O4" s="3" t="n"/>
      <c r="P4" s="3" t="n"/>
      <c r="Q4" s="3" t="inlineStr">
        <is>
          <t>B</t>
        </is>
      </c>
      <c r="R4" s="3" t="inlineStr">
        <is>
          <t>Two là số 2.</t>
        </is>
      </c>
      <c r="S4" s="3" t="n"/>
      <c r="T4" s="22" t="n">
        <v>30</v>
      </c>
      <c r="U4" s="22">
        <f>INDEX(Khung_cap_do!$H$2:$H$6,F4)</f>
        <v/>
      </c>
      <c r="V4" s="22" t="n">
        <v>2</v>
      </c>
      <c r="W4" s="22" t="n">
        <v>1</v>
      </c>
      <c r="X4" s="3" t="inlineStr">
        <is>
          <t>A1.NUM.01</t>
        </is>
      </c>
      <c r="Y4" s="3" t="inlineStr">
        <is>
          <t>TA.SODEM</t>
        </is>
      </c>
      <c r="Z4" s="3" t="inlineStr">
        <is>
          <t>Bộ mẫu</t>
        </is>
      </c>
      <c r="AA4" s="3" t="inlineStr">
        <is>
          <t>[Chọn đáp án] Which number is "two"?
A. 1 | B. 2 | C. 3
Đáp án: B</t>
        </is>
      </c>
      <c r="AB4" s="3" t="inlineStr">
        <is>
          <t>Từ two đã được dạy.</t>
        </is>
      </c>
      <c r="AC4" s="3" t="inlineStr">
        <is>
          <t>Mẫu tùy chọn; không đại diện chuẩn bắt buộc chung.</t>
        </is>
      </c>
      <c r="AD4" s="3" t="inlineStr">
        <is>
          <t>Chương trình GDPT 2018 / kế hoạch dạy học của trường; đối chiếu văn bản hiện hành</t>
        </is>
      </c>
      <c r="AE4" s="3" t="inlineStr">
        <is>
          <t>Bản mẫu — cần rà soát</t>
        </is>
      </c>
      <c r="AF4" s="3" t="inlineStr">
        <is>
          <t>Chờ giáo viên duyệt</t>
        </is>
      </c>
      <c r="AG4" s="3" t="n"/>
    </row>
    <row r="5">
      <c r="A5" s="3" t="inlineStr">
        <is>
          <t>EC1-096</t>
        </is>
      </c>
      <c r="B5" s="3" t="inlineStr">
        <is>
          <t>Tiếng Anh</t>
        </is>
      </c>
      <c r="C5" s="22" t="n">
        <v>1</v>
      </c>
      <c r="D5" s="3" t="inlineStr">
        <is>
          <t>Sau Unit 2</t>
        </is>
      </c>
      <c r="E5" s="3" t="inlineStr">
        <is>
          <t>Animals</t>
        </is>
      </c>
      <c r="F5" s="23" t="n">
        <v>1</v>
      </c>
      <c r="G5" s="3" t="inlineStr">
        <is>
          <t>Làm quen</t>
        </is>
      </c>
      <c r="H5" s="22" t="n"/>
      <c r="I5" s="3" t="n"/>
      <c r="J5" s="3" t="inlineStr">
        <is>
          <t>Chọn đáp án</t>
        </is>
      </c>
      <c r="K5" s="3" t="inlineStr">
        <is>
          <t>Từ "cat" là con gì?</t>
        </is>
      </c>
      <c r="L5" s="3" t="inlineStr">
        <is>
          <t>Con mèo</t>
        </is>
      </c>
      <c r="M5" s="3" t="inlineStr">
        <is>
          <t>Con chó</t>
        </is>
      </c>
      <c r="N5" s="3" t="inlineStr">
        <is>
          <t>Con vịt</t>
        </is>
      </c>
      <c r="O5" s="3" t="n"/>
      <c r="P5" s="3" t="n"/>
      <c r="Q5" s="3" t="inlineStr">
        <is>
          <t>A</t>
        </is>
      </c>
      <c r="R5" s="3" t="inlineStr">
        <is>
          <t>Cat là con mèo.</t>
        </is>
      </c>
      <c r="S5" s="3" t="n"/>
      <c r="T5" s="22" t="n">
        <v>30</v>
      </c>
      <c r="U5" s="22">
        <f>INDEX(Khung_cap_do!$H$2:$H$6,F5)</f>
        <v/>
      </c>
      <c r="V5" s="22" t="n">
        <v>2</v>
      </c>
      <c r="W5" s="22" t="n">
        <v>2</v>
      </c>
      <c r="X5" s="3" t="inlineStr">
        <is>
          <t>A1.ANIMAL.01</t>
        </is>
      </c>
      <c r="Y5" s="3" t="inlineStr">
        <is>
          <t>TA.TUVUNG</t>
        </is>
      </c>
      <c r="Z5" s="3" t="inlineStr">
        <is>
          <t>Soạn thêm</t>
        </is>
      </c>
      <c r="AA5" s="3" t="inlineStr"/>
      <c r="AB5" s="3" t="inlineStr">
        <is>
          <t>Đã học cat (Unit 2).</t>
        </is>
      </c>
      <c r="AC5" s="3" t="inlineStr">
        <is>
          <t>Làm quen tiếng Anh lớp 1; từ vựng Global Success 1 (Unit 1–8).</t>
        </is>
      </c>
      <c r="AD5" s="3" t="inlineStr">
        <is>
          <t>EduChain Kids soạn thêm (2026-10); bám chương trình GDPT 2018 và trình tự SGK đã chọn</t>
        </is>
      </c>
      <c r="AE5" s="3" t="inlineStr">
        <is>
          <t>Bản soạn mới — cần rà soát</t>
        </is>
      </c>
      <c r="AF5" s="3" t="inlineStr">
        <is>
          <t>Chờ giáo viên duyệt</t>
        </is>
      </c>
      <c r="AG5" s="3" t="n"/>
    </row>
    <row r="6">
      <c r="A6" s="3" t="inlineStr">
        <is>
          <t>EC1-097</t>
        </is>
      </c>
      <c r="B6" s="3" t="inlineStr">
        <is>
          <t>Tiếng Anh</t>
        </is>
      </c>
      <c r="C6" s="22" t="n">
        <v>1</v>
      </c>
      <c r="D6" s="3" t="inlineStr">
        <is>
          <t>Sau Unit 3</t>
        </is>
      </c>
      <c r="E6" s="3" t="inlineStr">
        <is>
          <t>Food</t>
        </is>
      </c>
      <c r="F6" s="23" t="n">
        <v>1</v>
      </c>
      <c r="G6" s="3" t="inlineStr">
        <is>
          <t>Làm quen</t>
        </is>
      </c>
      <c r="H6" s="22" t="n"/>
      <c r="I6" s="3" t="n"/>
      <c r="J6" s="3" t="inlineStr">
        <is>
          <t>Chọn đáp án</t>
        </is>
      </c>
      <c r="K6" s="3" t="inlineStr">
        <is>
          <t>Chọn từ có nghĩa là "quả táo".</t>
        </is>
      </c>
      <c r="L6" s="3" t="inlineStr">
        <is>
          <t>apple</t>
        </is>
      </c>
      <c r="M6" s="3" t="inlineStr">
        <is>
          <t>ball</t>
        </is>
      </c>
      <c r="N6" s="3" t="inlineStr">
        <is>
          <t>cup</t>
        </is>
      </c>
      <c r="O6" s="3" t="n"/>
      <c r="P6" s="3" t="n"/>
      <c r="Q6" s="3" t="inlineStr">
        <is>
          <t>A</t>
        </is>
      </c>
      <c r="R6" s="3" t="inlineStr">
        <is>
          <t>Apple là quả táo.</t>
        </is>
      </c>
      <c r="S6" s="3" t="n"/>
      <c r="T6" s="22" t="n">
        <v>30</v>
      </c>
      <c r="U6" s="22">
        <f>INDEX(Khung_cap_do!$H$2:$H$6,F6)</f>
        <v/>
      </c>
      <c r="V6" s="22" t="n">
        <v>3</v>
      </c>
      <c r="W6" s="22" t="n">
        <v>1</v>
      </c>
      <c r="X6" s="3" t="inlineStr">
        <is>
          <t>A1.EXTRA.02</t>
        </is>
      </c>
      <c r="Y6" s="3" t="inlineStr">
        <is>
          <t>TA.TUVUNG</t>
        </is>
      </c>
      <c r="Z6" s="3" t="inlineStr">
        <is>
          <t>Soạn thêm</t>
        </is>
      </c>
      <c r="AA6" s="3" t="inlineStr"/>
      <c r="AB6" s="3" t="inlineStr">
        <is>
          <t>Đã học apple (Unit 3).</t>
        </is>
      </c>
      <c r="AC6" s="3" t="inlineStr">
        <is>
          <t>Làm quen tiếng Anh lớp 1; từ vựng Global Success 1 (Unit 1–8).</t>
        </is>
      </c>
      <c r="AD6" s="3" t="inlineStr">
        <is>
          <t>EduChain Kids soạn thêm (2026-10); bám chương trình GDPT 2018 và trình tự SGK đã chọn</t>
        </is>
      </c>
      <c r="AE6" s="3" t="inlineStr">
        <is>
          <t>Bản soạn mới — cần rà soát</t>
        </is>
      </c>
      <c r="AF6" s="3" t="inlineStr">
        <is>
          <t>Chờ giáo viên duyệt</t>
        </is>
      </c>
      <c r="AG6" s="3" t="n"/>
    </row>
    <row r="7">
      <c r="A7" s="3" t="inlineStr">
        <is>
          <t>EC1-098</t>
        </is>
      </c>
      <c r="B7" s="3" t="inlineStr">
        <is>
          <t>Tiếng Anh</t>
        </is>
      </c>
      <c r="C7" s="22" t="n">
        <v>1</v>
      </c>
      <c r="D7" s="3" t="inlineStr">
        <is>
          <t>Sau Unit 1</t>
        </is>
      </c>
      <c r="E7" s="3" t="inlineStr">
        <is>
          <t>Toys</t>
        </is>
      </c>
      <c r="F7" s="23" t="n">
        <v>1</v>
      </c>
      <c r="G7" s="3" t="inlineStr">
        <is>
          <t>Làm quen</t>
        </is>
      </c>
      <c r="H7" s="22" t="n"/>
      <c r="I7" s="3" t="n"/>
      <c r="J7" s="3" t="inlineStr">
        <is>
          <t>Chọn đáp án</t>
        </is>
      </c>
      <c r="K7" s="3" t="inlineStr">
        <is>
          <t>Nghe "ball". Chọn hình đúng.</t>
        </is>
      </c>
      <c r="L7" s="3" t="inlineStr">
        <is>
          <t>⚽</t>
        </is>
      </c>
      <c r="M7" s="3" t="inlineStr">
        <is>
          <t>🚗</t>
        </is>
      </c>
      <c r="N7" s="3" t="inlineStr">
        <is>
          <t>🎂</t>
        </is>
      </c>
      <c r="O7" s="3" t="n"/>
      <c r="P7" s="3" t="n"/>
      <c r="Q7" s="3" t="inlineStr">
        <is>
          <t>A</t>
        </is>
      </c>
      <c r="R7" s="3" t="inlineStr">
        <is>
          <t>Ball là quả bóng ⚽.</t>
        </is>
      </c>
      <c r="S7" s="3" t="n"/>
      <c r="T7" s="22" t="n">
        <v>30</v>
      </c>
      <c r="U7" s="22">
        <f>INDEX(Khung_cap_do!$H$2:$H$6,F7)</f>
        <v/>
      </c>
      <c r="V7" s="22" t="n">
        <v>3</v>
      </c>
      <c r="W7" s="22" t="n">
        <v>2</v>
      </c>
      <c r="X7" s="3" t="inlineStr">
        <is>
          <t>A1.EXTRA.01</t>
        </is>
      </c>
      <c r="Y7" s="3" t="inlineStr">
        <is>
          <t>TA.TUVUNG</t>
        </is>
      </c>
      <c r="Z7" s="3" t="inlineStr">
        <is>
          <t>Soạn thêm</t>
        </is>
      </c>
      <c r="AA7" s="3" t="inlineStr"/>
      <c r="AB7" s="3" t="inlineStr">
        <is>
          <t>Đã học ball (Unit 1).</t>
        </is>
      </c>
      <c r="AC7" s="3" t="inlineStr">
        <is>
          <t>Làm quen tiếng Anh lớp 1; từ vựng Global Success 1 (Unit 1–8).</t>
        </is>
      </c>
      <c r="AD7" s="3" t="inlineStr">
        <is>
          <t>EduChain Kids soạn thêm (2026-10); bám chương trình GDPT 2018 và trình tự SGK đã chọn</t>
        </is>
      </c>
      <c r="AE7" s="3" t="inlineStr">
        <is>
          <t>Bản soạn mới — cần rà soát</t>
        </is>
      </c>
      <c r="AF7" s="3" t="inlineStr">
        <is>
          <t>Chờ giáo viên duyệt</t>
        </is>
      </c>
      <c r="AG7" s="3" t="n"/>
    </row>
    <row r="8">
      <c r="A8" s="3" t="inlineStr">
        <is>
          <t>EC1-099</t>
        </is>
      </c>
      <c r="B8" s="3" t="inlineStr">
        <is>
          <t>Tiếng Anh</t>
        </is>
      </c>
      <c r="C8" s="22" t="n">
        <v>1</v>
      </c>
      <c r="D8" s="3" t="inlineStr">
        <is>
          <t>Sau Unit 1</t>
        </is>
      </c>
      <c r="E8" s="3" t="inlineStr">
        <is>
          <t>Letter b</t>
        </is>
      </c>
      <c r="F8" s="23" t="n">
        <v>1</v>
      </c>
      <c r="G8" s="3" t="inlineStr">
        <is>
          <t>Làm quen</t>
        </is>
      </c>
      <c r="H8" s="22" t="n"/>
      <c r="I8" s="3" t="n"/>
      <c r="J8" s="3" t="inlineStr">
        <is>
          <t>Điền đáp án</t>
        </is>
      </c>
      <c r="K8" s="3" t="inlineStr">
        <is>
          <t>Điền chữ cái còn thiếu: _ook (quyển sách)</t>
        </is>
      </c>
      <c r="L8" s="3" t="n"/>
      <c r="M8" s="3" t="n"/>
      <c r="N8" s="3" t="n"/>
      <c r="O8" s="3" t="n"/>
      <c r="P8" s="3" t="n"/>
      <c r="Q8" s="3" t="inlineStr">
        <is>
          <t>b</t>
        </is>
      </c>
      <c r="R8" s="3" t="inlineStr">
        <is>
          <t>book – quyển sách, bắt đầu bằng b.</t>
        </is>
      </c>
      <c r="S8" s="3" t="n"/>
      <c r="T8" s="22" t="n">
        <v>40</v>
      </c>
      <c r="U8" s="22">
        <f>INDEX(Khung_cap_do!$H$2:$H$6,F8)</f>
        <v/>
      </c>
      <c r="V8" s="22" t="n">
        <v>4</v>
      </c>
      <c r="W8" s="22" t="n">
        <v>1</v>
      </c>
      <c r="X8" s="3" t="inlineStr">
        <is>
          <t>A1.ABC.02</t>
        </is>
      </c>
      <c r="Y8" s="3" t="inlineStr">
        <is>
          <t>TA.CHUCAI</t>
        </is>
      </c>
      <c r="Z8" s="3" t="inlineStr">
        <is>
          <t>Soạn thêm</t>
        </is>
      </c>
      <c r="AA8" s="3" t="inlineStr"/>
      <c r="AB8" s="3" t="inlineStr">
        <is>
          <t>Đã học chữ b và từ book (Unit 1).</t>
        </is>
      </c>
      <c r="AC8" s="3" t="inlineStr">
        <is>
          <t>Làm quen tiếng Anh lớp 1; từ vựng Global Success 1 (Unit 1–8).</t>
        </is>
      </c>
      <c r="AD8" s="3" t="inlineStr">
        <is>
          <t>EduChain Kids soạn thêm (2026-10); bám chương trình GDPT 2018 và trình tự SGK đã chọn</t>
        </is>
      </c>
      <c r="AE8" s="3" t="inlineStr">
        <is>
          <t>Bản soạn mới — cần rà soát</t>
        </is>
      </c>
      <c r="AF8" s="3" t="inlineStr">
        <is>
          <t>Chờ giáo viên duyệt</t>
        </is>
      </c>
      <c r="AG8" s="3" t="n"/>
    </row>
    <row r="9">
      <c r="A9" s="3" t="inlineStr">
        <is>
          <t>EC1-100</t>
        </is>
      </c>
      <c r="B9" s="3" t="inlineStr">
        <is>
          <t>Tiếng Anh</t>
        </is>
      </c>
      <c r="C9" s="22" t="n">
        <v>1</v>
      </c>
      <c r="D9" s="3" t="inlineStr">
        <is>
          <t>Sau Unit 4</t>
        </is>
      </c>
      <c r="E9" s="3" t="inlineStr">
        <is>
          <t>Letter d</t>
        </is>
      </c>
      <c r="F9" s="23" t="n">
        <v>1</v>
      </c>
      <c r="G9" s="3" t="inlineStr">
        <is>
          <t>Làm quen</t>
        </is>
      </c>
      <c r="H9" s="22" t="n"/>
      <c r="I9" s="3" t="n"/>
      <c r="J9" s="3" t="inlineStr">
        <is>
          <t>Chọn đáp án</t>
        </is>
      </c>
      <c r="K9" s="3" t="inlineStr">
        <is>
          <t>Từ "dog" bắt đầu bằng chữ cái nào?</t>
        </is>
      </c>
      <c r="L9" s="3" t="inlineStr">
        <is>
          <t>d</t>
        </is>
      </c>
      <c r="M9" s="3" t="inlineStr">
        <is>
          <t>b</t>
        </is>
      </c>
      <c r="N9" s="3" t="inlineStr">
        <is>
          <t>g</t>
        </is>
      </c>
      <c r="O9" s="3" t="n"/>
      <c r="P9" s="3" t="n"/>
      <c r="Q9" s="3" t="inlineStr">
        <is>
          <t>A</t>
        </is>
      </c>
      <c r="R9" s="3" t="inlineStr">
        <is>
          <t>dog bắt đầu bằng d.</t>
        </is>
      </c>
      <c r="S9" s="3" t="n"/>
      <c r="T9" s="22" t="n">
        <v>30</v>
      </c>
      <c r="U9" s="22">
        <f>INDEX(Khung_cap_do!$H$2:$H$6,F9)</f>
        <v/>
      </c>
      <c r="V9" s="22" t="n">
        <v>4</v>
      </c>
      <c r="W9" s="22" t="n">
        <v>2</v>
      </c>
      <c r="X9" s="3" t="inlineStr">
        <is>
          <t>A1.ABC.02</t>
        </is>
      </c>
      <c r="Y9" s="3" t="inlineStr">
        <is>
          <t>TA.CHUCAI</t>
        </is>
      </c>
      <c r="Z9" s="3" t="inlineStr">
        <is>
          <t>Soạn thêm</t>
        </is>
      </c>
      <c r="AA9" s="3" t="inlineStr"/>
      <c r="AB9" s="3" t="inlineStr">
        <is>
          <t>Đã học chữ d và từ dog (Unit 4).</t>
        </is>
      </c>
      <c r="AC9" s="3" t="inlineStr">
        <is>
          <t>Làm quen tiếng Anh lớp 1; từ vựng Global Success 1 (Unit 1–8).</t>
        </is>
      </c>
      <c r="AD9" s="3" t="inlineStr">
        <is>
          <t>EduChain Kids soạn thêm (2026-10); bám chương trình GDPT 2018 và trình tự SGK đã chọn</t>
        </is>
      </c>
      <c r="AE9" s="3" t="inlineStr">
        <is>
          <t>Bản soạn mới — cần rà soát</t>
        </is>
      </c>
      <c r="AF9" s="3" t="inlineStr">
        <is>
          <t>Chờ giáo viên duyệt</t>
        </is>
      </c>
      <c r="AG9" s="3" t="n"/>
    </row>
    <row r="10">
      <c r="A10" s="3" t="inlineStr">
        <is>
          <t>EC1-034</t>
        </is>
      </c>
      <c r="B10" s="3" t="inlineStr">
        <is>
          <t>Tiếng Anh</t>
        </is>
      </c>
      <c r="C10" s="22" t="n">
        <v>1</v>
      </c>
      <c r="D10" s="3" t="inlineStr">
        <is>
          <t>Theo chương trình trường lựa chọn</t>
        </is>
      </c>
      <c r="E10" s="3" t="inlineStr">
        <is>
          <t>Greetings</t>
        </is>
      </c>
      <c r="F10" s="23" t="n">
        <v>2</v>
      </c>
      <c r="G10" s="3" t="inlineStr">
        <is>
          <t>Cơ bản</t>
        </is>
      </c>
      <c r="H10" s="22" t="n"/>
      <c r="I10" s="3" t="n"/>
      <c r="J10" s="3" t="inlineStr">
        <is>
          <t>Chọn đáp án</t>
        </is>
      </c>
      <c r="K10" s="3" t="inlineStr">
        <is>
          <t>Chọn câu trả lời phù hợp cho “Hello!”</t>
        </is>
      </c>
      <c r="L10" s="3" t="inlineStr">
        <is>
          <t>Hello!</t>
        </is>
      </c>
      <c r="M10" s="3" t="inlineStr">
        <is>
          <t>Red!</t>
        </is>
      </c>
      <c r="N10" s="3" t="inlineStr">
        <is>
          <t>Three!</t>
        </is>
      </c>
      <c r="O10" s="3" t="n"/>
      <c r="P10" s="3" t="n"/>
      <c r="Q10" s="3" t="inlineStr">
        <is>
          <t>A</t>
        </is>
      </c>
      <c r="R10" s="3" t="inlineStr">
        <is>
          <t>Có thể đáp lại lời chào bằng Hello.</t>
        </is>
      </c>
      <c r="S10" s="3" t="n"/>
      <c r="T10" s="22" t="n">
        <v>40</v>
      </c>
      <c r="U10" s="22">
        <f>INDEX(Khung_cap_do!$H$2:$H$6,F10)</f>
        <v/>
      </c>
      <c r="V10" s="22" t="n">
        <v>1</v>
      </c>
      <c r="W10" s="22" t="n">
        <v>3</v>
      </c>
      <c r="X10" s="3" t="inlineStr">
        <is>
          <t>A1.HELLO.01</t>
        </is>
      </c>
      <c r="Y10" s="3" t="inlineStr">
        <is>
          <t>TA.MAUCAU</t>
        </is>
      </c>
      <c r="Z10" s="3" t="inlineStr">
        <is>
          <t>Bộ mẫu</t>
        </is>
      </c>
      <c r="AA10" s="3" t="inlineStr">
        <is>
          <t>[Chọn đáp án] Chọn câu trả lời phù hợp cho "Hello!"
A. Hello! | B. Red! | C. Three!
Đáp án: A</t>
        </is>
      </c>
      <c r="AB10" s="3" t="inlineStr">
        <is>
          <t>Đã luyện mẫu chào hỏi.</t>
        </is>
      </c>
      <c r="AC10" s="3" t="inlineStr">
        <is>
          <t>Phải có trong giáo trình đã chọn.</t>
        </is>
      </c>
      <c r="AD10" s="3" t="inlineStr">
        <is>
          <t>Chương trình GDPT 2018 / kế hoạch dạy học của trường; đối chiếu văn bản hiện hành</t>
        </is>
      </c>
      <c r="AE10" s="3" t="inlineStr">
        <is>
          <t>Bản mẫu — cần rà soát</t>
        </is>
      </c>
      <c r="AF10" s="3" t="inlineStr">
        <is>
          <t>Chờ giáo viên duyệt</t>
        </is>
      </c>
      <c r="AG10" s="3" t="n"/>
    </row>
    <row r="11">
      <c r="A11" s="3" t="inlineStr">
        <is>
          <t>EC1-035</t>
        </is>
      </c>
      <c r="B11" s="3" t="inlineStr">
        <is>
          <t>Tiếng Anh</t>
        </is>
      </c>
      <c r="C11" s="22" t="n">
        <v>1</v>
      </c>
      <c r="D11" s="3" t="inlineStr">
        <is>
          <t>Theo chương trình trường lựa chọn</t>
        </is>
      </c>
      <c r="E11" s="3" t="inlineStr">
        <is>
          <t>Classroom objects</t>
        </is>
      </c>
      <c r="F11" s="23" t="n">
        <v>2</v>
      </c>
      <c r="G11" s="3" t="inlineStr">
        <is>
          <t>Cơ bản</t>
        </is>
      </c>
      <c r="H11" s="22" t="n"/>
      <c r="I11" s="3" t="n"/>
      <c r="J11" s="3" t="inlineStr">
        <is>
          <t>Chọn đáp án</t>
        </is>
      </c>
      <c r="K11" s="3" t="inlineStr">
        <is>
          <t>Nghe “book”. Chọn đồ vật phù hợp.</t>
        </is>
      </c>
      <c r="L11" s="3" t="inlineStr">
        <is>
          <t>Quyển sách</t>
        </is>
      </c>
      <c r="M11" s="3" t="inlineStr">
        <is>
          <t>Quả táo</t>
        </is>
      </c>
      <c r="N11" s="3" t="inlineStr">
        <is>
          <t>Quả bóng</t>
        </is>
      </c>
      <c r="O11" s="3" t="n"/>
      <c r="P11" s="3" t="n"/>
      <c r="Q11" s="3" t="inlineStr">
        <is>
          <t>A</t>
        </is>
      </c>
      <c r="R11" s="3" t="inlineStr">
        <is>
          <t>Book nghĩa là quyển sách.</t>
        </is>
      </c>
      <c r="S11" s="3" t="n"/>
      <c r="T11" s="22" t="n">
        <v>40</v>
      </c>
      <c r="U11" s="22">
        <f>INDEX(Khung_cap_do!$H$2:$H$6,F11)</f>
        <v/>
      </c>
      <c r="V11" s="22" t="n">
        <v>1</v>
      </c>
      <c r="W11" s="22" t="n">
        <v>4</v>
      </c>
      <c r="X11" s="3" t="inlineStr">
        <is>
          <t>A1.SCHOOL.01</t>
        </is>
      </c>
      <c r="Y11" s="3" t="inlineStr">
        <is>
          <t>TA.TUVUNG</t>
        </is>
      </c>
      <c r="Z11" s="3" t="inlineStr">
        <is>
          <t>Bộ mẫu</t>
        </is>
      </c>
      <c r="AA11" s="3" t="inlineStr">
        <is>
          <t>[Chọn đáp án] Nghe "book". Chọn đồ vật phù hợp.
A. Quyển sách | B. Quả táo | C. Quả bóng
Đáp án: A</t>
        </is>
      </c>
      <c r="AB11" s="3" t="inlineStr">
        <is>
          <t>Từ book đã được dạy.</t>
        </is>
      </c>
      <c r="AC11" s="3" t="inlineStr">
        <is>
          <t>Cần giáo viên duyệt hình minh họa.</t>
        </is>
      </c>
      <c r="AD11" s="3" t="inlineStr">
        <is>
          <t>Chương trình GDPT 2018 / kế hoạch dạy học của trường; đối chiếu văn bản hiện hành</t>
        </is>
      </c>
      <c r="AE11" s="3" t="inlineStr">
        <is>
          <t>Bản mẫu — cần rà soát</t>
        </is>
      </c>
      <c r="AF11" s="3" t="inlineStr">
        <is>
          <t>Chờ giáo viên duyệt</t>
        </is>
      </c>
      <c r="AG11" s="3" t="n"/>
    </row>
    <row r="12">
      <c r="A12" s="3" t="inlineStr">
        <is>
          <t>EC1-036</t>
        </is>
      </c>
      <c r="B12" s="3" t="inlineStr">
        <is>
          <t>Tiếng Anh</t>
        </is>
      </c>
      <c r="C12" s="22" t="n">
        <v>1</v>
      </c>
      <c r="D12" s="3" t="inlineStr">
        <is>
          <t>Theo chương trình trường lựa chọn</t>
        </is>
      </c>
      <c r="E12" s="3" t="inlineStr">
        <is>
          <t>Animals</t>
        </is>
      </c>
      <c r="F12" s="23" t="n">
        <v>2</v>
      </c>
      <c r="G12" s="3" t="inlineStr">
        <is>
          <t>Cơ bản</t>
        </is>
      </c>
      <c r="H12" s="22" t="n"/>
      <c r="I12" s="3" t="n"/>
      <c r="J12" s="3" t="inlineStr">
        <is>
          <t>Chọn đáp án</t>
        </is>
      </c>
      <c r="K12" s="3" t="inlineStr">
        <is>
          <t>Which word means “mèo”?</t>
        </is>
      </c>
      <c r="L12" s="3" t="inlineStr">
        <is>
          <t>cat</t>
        </is>
      </c>
      <c r="M12" s="3" t="inlineStr">
        <is>
          <t>dog</t>
        </is>
      </c>
      <c r="N12" s="3" t="inlineStr">
        <is>
          <t>fish</t>
        </is>
      </c>
      <c r="O12" s="3" t="n"/>
      <c r="P12" s="3" t="n"/>
      <c r="Q12" s="3" t="inlineStr">
        <is>
          <t>A</t>
        </is>
      </c>
      <c r="R12" s="3" t="inlineStr">
        <is>
          <t>Cat nghĩa là mèo.</t>
        </is>
      </c>
      <c r="S12" s="3" t="n"/>
      <c r="T12" s="22" t="n">
        <v>40</v>
      </c>
      <c r="U12" s="22">
        <f>INDEX(Khung_cap_do!$H$2:$H$6,F12)</f>
        <v/>
      </c>
      <c r="V12" s="22" t="n">
        <v>2</v>
      </c>
      <c r="W12" s="22" t="n">
        <v>3</v>
      </c>
      <c r="X12" s="3" t="inlineStr">
        <is>
          <t>A1.ANIMAL.01</t>
        </is>
      </c>
      <c r="Y12" s="3" t="inlineStr">
        <is>
          <t>TA.TUVUNG</t>
        </is>
      </c>
      <c r="Z12" s="3" t="inlineStr">
        <is>
          <t>Bộ mẫu</t>
        </is>
      </c>
      <c r="AA12" s="3" t="inlineStr">
        <is>
          <t>[Chọn đáp án] Which word means "mèo"?
A. cat | B. dog | C. fish
Đáp án: A</t>
        </is>
      </c>
      <c r="AB12" s="3" t="inlineStr">
        <is>
          <t>Từ cat đã được học.</t>
        </is>
      </c>
      <c r="AC12" s="3" t="inlineStr">
        <is>
          <t>Chỉ dùng nếu từ đã được dạy.</t>
        </is>
      </c>
      <c r="AD12" s="3" t="inlineStr">
        <is>
          <t>Chương trình GDPT 2018 / kế hoạch dạy học của trường; đối chiếu văn bản hiện hành</t>
        </is>
      </c>
      <c r="AE12" s="3" t="inlineStr">
        <is>
          <t>Bản mẫu — cần rà soát</t>
        </is>
      </c>
      <c r="AF12" s="3" t="inlineStr">
        <is>
          <t>Chờ giáo viên duyệt</t>
        </is>
      </c>
      <c r="AG12" s="3" t="n"/>
    </row>
    <row r="13">
      <c r="A13" s="3" t="inlineStr">
        <is>
          <t>EC1-044</t>
        </is>
      </c>
      <c r="B13" s="3" t="inlineStr">
        <is>
          <t>Tiếng Anh</t>
        </is>
      </c>
      <c r="C13" s="22" t="n">
        <v>1</v>
      </c>
      <c r="D13" s="3" t="inlineStr">
        <is>
          <t>Theo chương trình trường lựa chọn</t>
        </is>
      </c>
      <c r="E13" s="3" t="inlineStr">
        <is>
          <t>Mini-dialogue</t>
        </is>
      </c>
      <c r="F13" s="23" t="n">
        <v>2</v>
      </c>
      <c r="G13" s="3" t="inlineStr">
        <is>
          <t>Cơ bản</t>
        </is>
      </c>
      <c r="H13" s="22" t="n">
        <v>5</v>
      </c>
      <c r="I13" s="3" t="inlineStr">
        <is>
          <t>Chọn lời chào quen thuộc, xếp L2.</t>
        </is>
      </c>
      <c r="J13" s="3" t="inlineStr">
        <is>
          <t>Chọn đáp án</t>
        </is>
      </c>
      <c r="K13" s="3" t="inlineStr">
        <is>
          <t>Gặp bạn vào buổi sáng, chọn lời chào phù hợp.</t>
        </is>
      </c>
      <c r="L13" s="3" t="inlineStr">
        <is>
          <t>Good morning.</t>
        </is>
      </c>
      <c r="M13" s="3" t="inlineStr">
        <is>
          <t>Goodbye.</t>
        </is>
      </c>
      <c r="N13" s="3" t="inlineStr">
        <is>
          <t>Thank you.</t>
        </is>
      </c>
      <c r="O13" s="3" t="n"/>
      <c r="P13" s="3" t="n"/>
      <c r="Q13" s="3" t="inlineStr">
        <is>
          <t>A</t>
        </is>
      </c>
      <c r="R13" s="3" t="inlineStr">
        <is>
          <t>Good morning là lời chào buổi sáng.</t>
        </is>
      </c>
      <c r="S13" s="3" t="n"/>
      <c r="T13" s="22" t="n">
        <v>40</v>
      </c>
      <c r="U13" s="22">
        <f>INDEX(Khung_cap_do!$H$2:$H$6,F13)</f>
        <v/>
      </c>
      <c r="V13" s="22" t="n">
        <v>2</v>
      </c>
      <c r="W13" s="22" t="n">
        <v>4</v>
      </c>
      <c r="X13" s="3" t="inlineStr">
        <is>
          <t>A1.HELLO.01</t>
        </is>
      </c>
      <c r="Y13" s="3" t="inlineStr">
        <is>
          <t>TA.MAUCAU</t>
        </is>
      </c>
      <c r="Z13" s="3" t="inlineStr">
        <is>
          <t>Bộ mẫu</t>
        </is>
      </c>
      <c r="AA13" s="3" t="inlineStr"/>
      <c r="AB13" s="3" t="inlineStr">
        <is>
          <t>Cụm từ đã được dạy.</t>
        </is>
      </c>
      <c r="AC13" s="3" t="inlineStr">
        <is>
          <t>Phụ thuộc giáo trình và tiến độ trường.</t>
        </is>
      </c>
      <c r="AD13" s="3" t="inlineStr">
        <is>
          <t>Chương trình GDPT 2018 / kế hoạch dạy học của trường; đối chiếu văn bản hiện hành</t>
        </is>
      </c>
      <c r="AE13" s="3" t="inlineStr">
        <is>
          <t>Bản mẫu — cần rà soát</t>
        </is>
      </c>
      <c r="AF13" s="3" t="inlineStr">
        <is>
          <t>Chờ giáo viên duyệt</t>
        </is>
      </c>
      <c r="AG13" s="3" t="n"/>
    </row>
    <row r="14">
      <c r="A14" s="3" t="inlineStr">
        <is>
          <t>EC1-101</t>
        </is>
      </c>
      <c r="B14" s="3" t="inlineStr">
        <is>
          <t>Tiếng Anh</t>
        </is>
      </c>
      <c r="C14" s="22" t="n">
        <v>1</v>
      </c>
      <c r="D14" s="3" t="inlineStr">
        <is>
          <t>Sau Unit 2</t>
        </is>
      </c>
      <c r="E14" s="3" t="inlineStr">
        <is>
          <t>Letter c words</t>
        </is>
      </c>
      <c r="F14" s="23" t="n">
        <v>2</v>
      </c>
      <c r="G14" s="3" t="inlineStr">
        <is>
          <t>Cơ bản</t>
        </is>
      </c>
      <c r="H14" s="22" t="n"/>
      <c r="I14" s="3" t="n"/>
      <c r="J14" s="3" t="inlineStr">
        <is>
          <t>Ghép cặp</t>
        </is>
      </c>
      <c r="K14" s="3" t="inlineStr">
        <is>
          <t>Nối từ với nghĩa.
(Vế trái: car / cake / cup · Vế phải: bánh ngọt / cái cốc / ô tô)</t>
        </is>
      </c>
      <c r="L14" s="3" t="n"/>
      <c r="M14" s="3" t="n"/>
      <c r="N14" s="3" t="n"/>
      <c r="O14" s="3" t="n"/>
      <c r="P14" s="3" t="n"/>
      <c r="Q14" s="3" t="inlineStr">
        <is>
          <t>car – ô tô; cake – bánh ngọt; cup – cái cốc</t>
        </is>
      </c>
      <c r="R14" s="3" t="inlineStr">
        <is>
          <t>car – ô tô, cake – bánh ngọt, cup – cái cốc.</t>
        </is>
      </c>
      <c r="S14" s="3" t="n"/>
      <c r="T14" s="22" t="n">
        <v>55</v>
      </c>
      <c r="U14" s="22">
        <f>INDEX(Khung_cap_do!$H$2:$H$6,F14)</f>
        <v/>
      </c>
      <c r="V14" s="22" t="n">
        <v>3</v>
      </c>
      <c r="W14" s="22" t="n">
        <v>3</v>
      </c>
      <c r="X14" s="3" t="inlineStr">
        <is>
          <t>A1.EXTRA.01</t>
        </is>
      </c>
      <c r="Y14" s="3" t="inlineStr">
        <is>
          <t>TA.NOINGHIA</t>
        </is>
      </c>
      <c r="Z14" s="3" t="inlineStr">
        <is>
          <t>Soạn thêm</t>
        </is>
      </c>
      <c r="AA14" s="3" t="inlineStr"/>
      <c r="AB14" s="3" t="inlineStr">
        <is>
          <t>Đã học car, cake, cup (Unit 2).</t>
        </is>
      </c>
      <c r="AC14" s="3" t="inlineStr">
        <is>
          <t>Làm quen tiếng Anh lớp 1; từ vựng Global Success 1 (Unit 1–8).</t>
        </is>
      </c>
      <c r="AD14" s="3" t="inlineStr">
        <is>
          <t>EduChain Kids soạn thêm (2026-10); bám chương trình GDPT 2018 và trình tự SGK đã chọn</t>
        </is>
      </c>
      <c r="AE14" s="3" t="inlineStr">
        <is>
          <t>Bản soạn mới — cần rà soát</t>
        </is>
      </c>
      <c r="AF14" s="3" t="inlineStr">
        <is>
          <t>Chờ giáo viên duyệt</t>
        </is>
      </c>
      <c r="AG14" s="3" t="n"/>
    </row>
    <row r="15">
      <c r="A15" s="3" t="inlineStr">
        <is>
          <t>EC1-102</t>
        </is>
      </c>
      <c r="B15" s="3" t="inlineStr">
        <is>
          <t>Tiếng Anh</t>
        </is>
      </c>
      <c r="C15" s="22" t="n">
        <v>1</v>
      </c>
      <c r="D15" s="3" t="inlineStr">
        <is>
          <t>Sau Unit 6</t>
        </is>
      </c>
      <c r="E15" s="3" t="inlineStr">
        <is>
          <t>School things</t>
        </is>
      </c>
      <c r="F15" s="23" t="n">
        <v>2</v>
      </c>
      <c r="G15" s="3" t="inlineStr">
        <is>
          <t>Cơ bản</t>
        </is>
      </c>
      <c r="H15" s="22" t="n"/>
      <c r="I15" s="3" t="n"/>
      <c r="J15" s="3" t="inlineStr">
        <is>
          <t>Chọn đáp án</t>
        </is>
      </c>
      <c r="K15" s="3" t="inlineStr">
        <is>
          <t>Từ nào có nghĩa là "cái bút mực"?</t>
        </is>
      </c>
      <c r="L15" s="3" t="inlineStr">
        <is>
          <t>pen</t>
        </is>
      </c>
      <c r="M15" s="3" t="inlineStr">
        <is>
          <t>pencil</t>
        </is>
      </c>
      <c r="N15" s="3" t="inlineStr">
        <is>
          <t>bell</t>
        </is>
      </c>
      <c r="O15" s="3" t="n"/>
      <c r="P15" s="3" t="n"/>
      <c r="Q15" s="3" t="inlineStr">
        <is>
          <t>A</t>
        </is>
      </c>
      <c r="R15" s="3" t="inlineStr">
        <is>
          <t>pen – bút mực; pencil – bút chì; bell – cái chuông.</t>
        </is>
      </c>
      <c r="S15" s="3" t="n"/>
      <c r="T15" s="22" t="n">
        <v>40</v>
      </c>
      <c r="U15" s="22">
        <f>INDEX(Khung_cap_do!$H$2:$H$6,F15)</f>
        <v/>
      </c>
      <c r="V15" s="22" t="n">
        <v>3</v>
      </c>
      <c r="W15" s="22" t="n">
        <v>4</v>
      </c>
      <c r="X15" s="3" t="inlineStr">
        <is>
          <t>A1.SCHOOL.01</t>
        </is>
      </c>
      <c r="Y15" s="3" t="inlineStr">
        <is>
          <t>TA.TUVUNG</t>
        </is>
      </c>
      <c r="Z15" s="3" t="inlineStr">
        <is>
          <t>Soạn thêm</t>
        </is>
      </c>
      <c r="AA15" s="3" t="inlineStr"/>
      <c r="AB15" s="3" t="inlineStr">
        <is>
          <t>Đã học pen, pencil, bell (Unit 6).</t>
        </is>
      </c>
      <c r="AC15" s="3" t="inlineStr">
        <is>
          <t>Làm quen tiếng Anh lớp 1; từ vựng Global Success 1 (Unit 1–8).</t>
        </is>
      </c>
      <c r="AD15" s="3" t="inlineStr">
        <is>
          <t>EduChain Kids soạn thêm (2026-10); bám chương trình GDPT 2018 và trình tự SGK đã chọn</t>
        </is>
      </c>
      <c r="AE15" s="3" t="inlineStr">
        <is>
          <t>Bản soạn mới — cần rà soát</t>
        </is>
      </c>
      <c r="AF15" s="3" t="inlineStr">
        <is>
          <t>Chờ giáo viên duyệt</t>
        </is>
      </c>
      <c r="AG15" s="3" t="n"/>
    </row>
    <row r="16">
      <c r="A16" s="3" t="inlineStr">
        <is>
          <t>EC1-103</t>
        </is>
      </c>
      <c r="B16" s="3" t="inlineStr">
        <is>
          <t>Tiếng Anh</t>
        </is>
      </c>
      <c r="C16" s="22" t="n">
        <v>1</v>
      </c>
      <c r="D16" s="3" t="inlineStr">
        <is>
          <t>Sau Unit 5</t>
        </is>
      </c>
      <c r="E16" s="3" t="inlineStr">
        <is>
          <t>Animals</t>
        </is>
      </c>
      <c r="F16" s="23" t="n">
        <v>2</v>
      </c>
      <c r="G16" s="3" t="inlineStr">
        <is>
          <t>Cơ bản</t>
        </is>
      </c>
      <c r="H16" s="22" t="n"/>
      <c r="I16" s="3" t="n"/>
      <c r="J16" s="3" t="inlineStr">
        <is>
          <t>Đúng / Sai</t>
        </is>
      </c>
      <c r="K16" s="3" t="inlineStr">
        <is>
          <t>"Fish" nghĩa là con cá.</t>
        </is>
      </c>
      <c r="L16" s="3" t="inlineStr">
        <is>
          <t>Đúng</t>
        </is>
      </c>
      <c r="M16" s="3" t="inlineStr">
        <is>
          <t>Sai</t>
        </is>
      </c>
      <c r="N16" s="3" t="n"/>
      <c r="O16" s="3" t="n"/>
      <c r="P16" s="3" t="n"/>
      <c r="Q16" s="3" t="inlineStr">
        <is>
          <t>A</t>
        </is>
      </c>
      <c r="R16" s="3" t="inlineStr">
        <is>
          <t>Fish là con cá.</t>
        </is>
      </c>
      <c r="S16" s="3" t="n"/>
      <c r="T16" s="22" t="n">
        <v>40</v>
      </c>
      <c r="U16" s="22">
        <f>INDEX(Khung_cap_do!$H$2:$H$6,F16)</f>
        <v/>
      </c>
      <c r="V16" s="22" t="n">
        <v>4</v>
      </c>
      <c r="W16" s="22" t="n">
        <v>3</v>
      </c>
      <c r="X16" s="3" t="inlineStr">
        <is>
          <t>A1.ANIMAL.01</t>
        </is>
      </c>
      <c r="Y16" s="3" t="inlineStr">
        <is>
          <t>TA.TUVUNG</t>
        </is>
      </c>
      <c r="Z16" s="3" t="inlineStr">
        <is>
          <t>Soạn thêm</t>
        </is>
      </c>
      <c r="AA16" s="3" t="inlineStr"/>
      <c r="AB16" s="3" t="inlineStr">
        <is>
          <t>Đã học fish (Unit 5).</t>
        </is>
      </c>
      <c r="AC16" s="3" t="inlineStr">
        <is>
          <t>Làm quen tiếng Anh lớp 1; từ vựng Global Success 1 (Unit 1–8).</t>
        </is>
      </c>
      <c r="AD16" s="3" t="inlineStr">
        <is>
          <t>EduChain Kids soạn thêm (2026-10); bám chương trình GDPT 2018 và trình tự SGK đã chọn</t>
        </is>
      </c>
      <c r="AE16" s="3" t="inlineStr">
        <is>
          <t>Bản soạn mới — cần rà soát</t>
        </is>
      </c>
      <c r="AF16" s="3" t="inlineStr">
        <is>
          <t>Chờ giáo viên duyệt</t>
        </is>
      </c>
      <c r="AG16" s="3" t="n"/>
    </row>
    <row r="17">
      <c r="A17" s="3" t="inlineStr">
        <is>
          <t>EC1-104</t>
        </is>
      </c>
      <c r="B17" s="3" t="inlineStr">
        <is>
          <t>Tiếng Anh</t>
        </is>
      </c>
      <c r="C17" s="22" t="n">
        <v>1</v>
      </c>
      <c r="D17" s="3" t="inlineStr">
        <is>
          <t>Sau Unit 3</t>
        </is>
      </c>
      <c r="E17" s="3" t="inlineStr">
        <is>
          <t>Spelling</t>
        </is>
      </c>
      <c r="F17" s="23" t="n">
        <v>2</v>
      </c>
      <c r="G17" s="3" t="inlineStr">
        <is>
          <t>Cơ bản</t>
        </is>
      </c>
      <c r="H17" s="22" t="n"/>
      <c r="I17" s="3" t="n"/>
      <c r="J17" s="3" t="inlineStr">
        <is>
          <t>Điền đáp án</t>
        </is>
      </c>
      <c r="K17" s="3" t="inlineStr">
        <is>
          <t>Điền chữ cái còn thiếu: _at (cái mũ)</t>
        </is>
      </c>
      <c r="L17" s="3" t="n"/>
      <c r="M17" s="3" t="n"/>
      <c r="N17" s="3" t="n"/>
      <c r="O17" s="3" t="n"/>
      <c r="P17" s="3" t="n"/>
      <c r="Q17" s="3" t="inlineStr">
        <is>
          <t>h</t>
        </is>
      </c>
      <c r="R17" s="3" t="inlineStr">
        <is>
          <t>hat – cái mũ.</t>
        </is>
      </c>
      <c r="S17" s="3" t="n"/>
      <c r="T17" s="22" t="n">
        <v>50</v>
      </c>
      <c r="U17" s="22">
        <f>INDEX(Khung_cap_do!$H$2:$H$6,F17)</f>
        <v/>
      </c>
      <c r="V17" s="22" t="n">
        <v>4</v>
      </c>
      <c r="W17" s="22" t="n">
        <v>4</v>
      </c>
      <c r="X17" s="3" t="inlineStr">
        <is>
          <t>A1.ABC.02</t>
        </is>
      </c>
      <c r="Y17" s="3" t="inlineStr">
        <is>
          <t>TA.CHUCAI</t>
        </is>
      </c>
      <c r="Z17" s="3" t="inlineStr">
        <is>
          <t>Soạn thêm</t>
        </is>
      </c>
      <c r="AA17" s="3" t="inlineStr"/>
      <c r="AB17" s="3" t="inlineStr">
        <is>
          <t>Đã học hat (Unit 3) và chữ h (Unit 8).</t>
        </is>
      </c>
      <c r="AC17" s="3" t="inlineStr">
        <is>
          <t>Làm quen tiếng Anh lớp 1; từ vựng Global Success 1 (Unit 1–8).</t>
        </is>
      </c>
      <c r="AD17" s="3" t="inlineStr">
        <is>
          <t>EduChain Kids soạn thêm (2026-10); bám chương trình GDPT 2018 và trình tự SGK đã chọn</t>
        </is>
      </c>
      <c r="AE17" s="3" t="inlineStr">
        <is>
          <t>Bản soạn mới — cần rà soát</t>
        </is>
      </c>
      <c r="AF17" s="3" t="inlineStr">
        <is>
          <t>Chờ giáo viên duyệt</t>
        </is>
      </c>
      <c r="AG17" s="3" t="n"/>
    </row>
    <row r="18">
      <c r="A18" s="3" t="inlineStr">
        <is>
          <t>EC1-037</t>
        </is>
      </c>
      <c r="B18" s="3" t="inlineStr">
        <is>
          <t>Tiếng Anh</t>
        </is>
      </c>
      <c r="C18" s="22" t="n">
        <v>1</v>
      </c>
      <c r="D18" s="3" t="inlineStr">
        <is>
          <t>Theo chương trình trường lựa chọn</t>
        </is>
      </c>
      <c r="E18" s="3" t="inlineStr">
        <is>
          <t>Colours</t>
        </is>
      </c>
      <c r="F18" s="23" t="n">
        <v>3</v>
      </c>
      <c r="G18" s="3" t="inlineStr">
        <is>
          <t>Vận dụng</t>
        </is>
      </c>
      <c r="H18" s="22" t="n"/>
      <c r="I18" s="3" t="n"/>
      <c r="J18" s="3" t="inlineStr">
        <is>
          <t>Chọn đáp án</t>
        </is>
      </c>
      <c r="K18" s="3" t="inlineStr">
        <is>
          <t>A ripe banana is usually ___.</t>
        </is>
      </c>
      <c r="L18" s="3" t="inlineStr">
        <is>
          <t>yellow</t>
        </is>
      </c>
      <c r="M18" s="3" t="inlineStr">
        <is>
          <t>blue</t>
        </is>
      </c>
      <c r="N18" s="3" t="inlineStr">
        <is>
          <t>purple</t>
        </is>
      </c>
      <c r="O18" s="3" t="n"/>
      <c r="P18" s="3" t="n"/>
      <c r="Q18" s="3" t="inlineStr">
        <is>
          <t>A</t>
        </is>
      </c>
      <c r="R18" s="3" t="inlineStr">
        <is>
          <t>Quả chuối chín thường có màu vàng.</t>
        </is>
      </c>
      <c r="S18" s="3" t="inlineStr">
        <is>
          <t>Ripe banana = quả chuối chín. Chuối chín có màu vàng: yellow.</t>
        </is>
      </c>
      <c r="T18" s="22" t="n">
        <v>50</v>
      </c>
      <c r="U18" s="22">
        <f>INDEX(Khung_cap_do!$H$2:$H$6,F18)</f>
        <v/>
      </c>
      <c r="V18" s="22" t="n">
        <v>1</v>
      </c>
      <c r="W18" s="22" t="n">
        <v>5</v>
      </c>
      <c r="X18" s="3" t="inlineStr">
        <is>
          <t>A1.COLOUR.01</t>
        </is>
      </c>
      <c r="Y18" s="3" t="inlineStr">
        <is>
          <t>TA.MAUCAU</t>
        </is>
      </c>
      <c r="Z18" s="3" t="inlineStr">
        <is>
          <t>Bộ mẫu</t>
        </is>
      </c>
      <c r="AA18" s="3" t="inlineStr"/>
      <c r="AB18" s="3" t="inlineStr">
        <is>
          <t>Đã học yellow và từ banana hoặc có tranh hỗ trợ.</t>
        </is>
      </c>
      <c r="AC18" s="3" t="inlineStr">
        <is>
          <t>Tình huống kết hợp từ đã học; cần duyệt.</t>
        </is>
      </c>
      <c r="AD18" s="3" t="inlineStr">
        <is>
          <t>Chương trình GDPT 2018 / kế hoạch dạy học của trường; đối chiếu văn bản hiện hành</t>
        </is>
      </c>
      <c r="AE18" s="3" t="inlineStr">
        <is>
          <t>Bản mẫu — cần rà soát</t>
        </is>
      </c>
      <c r="AF18" s="3" t="inlineStr">
        <is>
          <t>Chờ giáo viên duyệt</t>
        </is>
      </c>
      <c r="AG18" s="3" t="n"/>
    </row>
    <row r="19">
      <c r="A19" s="3" t="inlineStr">
        <is>
          <t>EC1-038</t>
        </is>
      </c>
      <c r="B19" s="3" t="inlineStr">
        <is>
          <t>Tiếng Anh</t>
        </is>
      </c>
      <c r="C19" s="22" t="n">
        <v>1</v>
      </c>
      <c r="D19" s="3" t="inlineStr">
        <is>
          <t>Theo chương trình trường lựa chọn</t>
        </is>
      </c>
      <c r="E19" s="3" t="inlineStr">
        <is>
          <t>Classroom language</t>
        </is>
      </c>
      <c r="F19" s="23" t="n">
        <v>3</v>
      </c>
      <c r="G19" s="3" t="inlineStr">
        <is>
          <t>Vận dụng</t>
        </is>
      </c>
      <c r="H19" s="22" t="n"/>
      <c r="I19" s="3" t="n"/>
      <c r="J19" s="3" t="inlineStr">
        <is>
          <t>Chọn đáp án</t>
        </is>
      </c>
      <c r="K19" s="3" t="inlineStr">
        <is>
          <t>Giáo viên nói “Listen”. Em nên làm gì?</t>
        </is>
      </c>
      <c r="L19" s="3" t="inlineStr">
        <is>
          <t>Lắng nghe</t>
        </is>
      </c>
      <c r="M19" s="3" t="inlineStr">
        <is>
          <t>Chạy ra ngoài</t>
        </is>
      </c>
      <c r="N19" s="3" t="inlineStr">
        <is>
          <t>Ngủ</t>
        </is>
      </c>
      <c r="O19" s="3" t="n"/>
      <c r="P19" s="3" t="n"/>
      <c r="Q19" s="3" t="inlineStr">
        <is>
          <t>A</t>
        </is>
      </c>
      <c r="R19" s="3" t="inlineStr">
        <is>
          <t>Listen là yêu cầu lắng nghe.</t>
        </is>
      </c>
      <c r="S19" s="3" t="inlineStr">
        <is>
          <t>Listen nghĩa là "Hãy lắng nghe". Em ngồi yên và nghe cô nói.</t>
        </is>
      </c>
      <c r="T19" s="22" t="n">
        <v>50</v>
      </c>
      <c r="U19" s="22">
        <f>INDEX(Khung_cap_do!$H$2:$H$6,F19)</f>
        <v/>
      </c>
      <c r="V19" s="22" t="n">
        <v>1</v>
      </c>
      <c r="W19" s="22" t="n">
        <v>6</v>
      </c>
      <c r="X19" s="3" t="inlineStr">
        <is>
          <t>A1.HELLO.02</t>
        </is>
      </c>
      <c r="Y19" s="3" t="inlineStr">
        <is>
          <t>TA.TUVUNG</t>
        </is>
      </c>
      <c r="Z19" s="3" t="inlineStr">
        <is>
          <t>Bộ mẫu</t>
        </is>
      </c>
      <c r="AA19" s="3" t="inlineStr">
        <is>
          <t>[Chọn đáp án] Giáo viên nói "Listen". Em nên làm gì?
A. Lắng nghe | B. Chạy ra ngoài | C. Ngủ
Đáp án: A</t>
        </is>
      </c>
      <c r="AB19" s="3" t="inlineStr">
        <is>
          <t>Từ chỉ dẫn đã được dạy bằng ngữ cảnh.</t>
        </is>
      </c>
      <c r="AC19" s="3" t="inlineStr">
        <is>
          <t>Chỉ dùng nếu có trong chương trình trường.</t>
        </is>
      </c>
      <c r="AD19" s="3" t="inlineStr">
        <is>
          <t>Chương trình GDPT 2018 / kế hoạch dạy học của trường; đối chiếu văn bản hiện hành</t>
        </is>
      </c>
      <c r="AE19" s="3" t="inlineStr">
        <is>
          <t>Bản mẫu — cần rà soát</t>
        </is>
      </c>
      <c r="AF19" s="3" t="inlineStr">
        <is>
          <t>Chờ giáo viên duyệt</t>
        </is>
      </c>
      <c r="AG19" s="3" t="n"/>
    </row>
    <row r="20">
      <c r="A20" s="3" t="inlineStr">
        <is>
          <t>EC1-039</t>
        </is>
      </c>
      <c r="B20" s="3" t="inlineStr">
        <is>
          <t>Tiếng Anh</t>
        </is>
      </c>
      <c r="C20" s="22" t="n">
        <v>1</v>
      </c>
      <c r="D20" s="3" t="inlineStr">
        <is>
          <t>Theo chương trình trường lựa chọn</t>
        </is>
      </c>
      <c r="E20" s="3" t="inlineStr">
        <is>
          <t>Introductions</t>
        </is>
      </c>
      <c r="F20" s="23" t="n">
        <v>3</v>
      </c>
      <c r="G20" s="3" t="inlineStr">
        <is>
          <t>Vận dụng</t>
        </is>
      </c>
      <c r="H20" s="22" t="n"/>
      <c r="I20" s="3" t="n"/>
      <c r="J20" s="3" t="inlineStr">
        <is>
          <t>Chọn đáp án</t>
        </is>
      </c>
      <c r="K20" s="3" t="inlineStr">
        <is>
          <t>Chọn câu dùng để nói tên mình.</t>
        </is>
      </c>
      <c r="L20" s="3" t="inlineStr">
        <is>
          <t>My name is Lan.</t>
        </is>
      </c>
      <c r="M20" s="3" t="inlineStr">
        <is>
          <t>It is blue.</t>
        </is>
      </c>
      <c r="N20" s="3" t="inlineStr">
        <is>
          <t>Good night.</t>
        </is>
      </c>
      <c r="O20" s="3" t="n"/>
      <c r="P20" s="3" t="n"/>
      <c r="Q20" s="3" t="inlineStr">
        <is>
          <t>A</t>
        </is>
      </c>
      <c r="R20" s="3" t="inlineStr">
        <is>
          <t>My name is Lan dùng để giới thiệu tên.</t>
        </is>
      </c>
      <c r="S20" s="3" t="inlineStr">
        <is>
          <t>"My name is …" nghĩa là "Tên mình là …".</t>
        </is>
      </c>
      <c r="T20" s="22" t="n">
        <v>50</v>
      </c>
      <c r="U20" s="22">
        <f>INDEX(Khung_cap_do!$H$2:$H$6,F20)</f>
        <v/>
      </c>
      <c r="V20" s="22" t="n">
        <v>2</v>
      </c>
      <c r="W20" s="22" t="n">
        <v>5</v>
      </c>
      <c r="X20" s="3" t="inlineStr">
        <is>
          <t>A1.HELLO.03</t>
        </is>
      </c>
      <c r="Y20" s="3" t="inlineStr">
        <is>
          <t>TA.MAUCAU</t>
        </is>
      </c>
      <c r="Z20" s="3" t="inlineStr">
        <is>
          <t>Bộ mẫu</t>
        </is>
      </c>
      <c r="AA20" s="3" t="inlineStr"/>
      <c r="AB20" s="3" t="inlineStr">
        <is>
          <t>Mẫu câu đã được dạy.</t>
        </is>
      </c>
      <c r="AC20" s="3" t="inlineStr">
        <is>
          <t>Tên Lan là ví dụ; không cần học sinh cung cấp dữ liệu cá nhân.</t>
        </is>
      </c>
      <c r="AD20" s="3" t="inlineStr">
        <is>
          <t>Chương trình GDPT 2018 / kế hoạch dạy học của trường; đối chiếu văn bản hiện hành</t>
        </is>
      </c>
      <c r="AE20" s="3" t="inlineStr">
        <is>
          <t>Bản mẫu — cần rà soát</t>
        </is>
      </c>
      <c r="AF20" s="3" t="inlineStr">
        <is>
          <t>Chờ giáo viên duyệt</t>
        </is>
      </c>
      <c r="AG20" s="3" t="n"/>
    </row>
    <row r="21">
      <c r="A21" s="3" t="inlineStr">
        <is>
          <t>EC1-105</t>
        </is>
      </c>
      <c r="B21" s="3" t="inlineStr">
        <is>
          <t>Tiếng Anh</t>
        </is>
      </c>
      <c r="C21" s="22" t="n">
        <v>1</v>
      </c>
      <c r="D21" s="3" t="inlineStr">
        <is>
          <t>Sau Unit 8</t>
        </is>
      </c>
      <c r="E21" s="3" t="inlineStr">
        <is>
          <t>Animals</t>
        </is>
      </c>
      <c r="F21" s="23" t="n">
        <v>3</v>
      </c>
      <c r="G21" s="3" t="inlineStr">
        <is>
          <t>Vận dụng</t>
        </is>
      </c>
      <c r="H21" s="22" t="n"/>
      <c r="I21" s="3" t="n"/>
      <c r="J21" s="3" t="inlineStr">
        <is>
          <t>Chọn nhiều đáp án</t>
        </is>
      </c>
      <c r="K21" s="3" t="inlineStr">
        <is>
          <t>Chọn TẤT CẢ từ chỉ con vật.</t>
        </is>
      </c>
      <c r="L21" s="3" t="inlineStr">
        <is>
          <t>duck</t>
        </is>
      </c>
      <c r="M21" s="3" t="inlineStr">
        <is>
          <t>goat</t>
        </is>
      </c>
      <c r="N21" s="3" t="inlineStr">
        <is>
          <t>desk</t>
        </is>
      </c>
      <c r="O21" s="3" t="inlineStr">
        <is>
          <t>horse</t>
        </is>
      </c>
      <c r="P21" s="3" t="n"/>
      <c r="Q21" s="3" t="inlineStr">
        <is>
          <t>A, B, D</t>
        </is>
      </c>
      <c r="R21" s="3" t="inlineStr">
        <is>
          <t>duck, goat, horse là con vật; desk là cái bàn.</t>
        </is>
      </c>
      <c r="S21" s="3" t="inlineStr">
        <is>
          <t>duck – con vịt, goat – con dê, horse – con ngựa. Desk là cái bàn học.</t>
        </is>
      </c>
      <c r="T21" s="22" t="n">
        <v>60</v>
      </c>
      <c r="U21" s="22">
        <f>INDEX(Khung_cap_do!$H$2:$H$6,F21)</f>
        <v/>
      </c>
      <c r="V21" s="22" t="n">
        <v>2</v>
      </c>
      <c r="W21" s="22" t="n">
        <v>6</v>
      </c>
      <c r="X21" s="3" t="inlineStr">
        <is>
          <t>A1.ANIMAL.01</t>
        </is>
      </c>
      <c r="Y21" s="3" t="inlineStr">
        <is>
          <t>TA.NHOMTU</t>
        </is>
      </c>
      <c r="Z21" s="3" t="inlineStr">
        <is>
          <t>Soạn thêm</t>
        </is>
      </c>
      <c r="AA21" s="3" t="inlineStr"/>
      <c r="AB21" s="3" t="inlineStr">
        <is>
          <t>Đã học duck, desk (Unit 4), goat (Unit 7), horse (Unit 8).</t>
        </is>
      </c>
      <c r="AC21" s="3" t="inlineStr">
        <is>
          <t>Làm quen tiếng Anh lớp 1; từ vựng Global Success 1 (Unit 1–8).</t>
        </is>
      </c>
      <c r="AD21" s="3" t="inlineStr">
        <is>
          <t>EduChain Kids soạn thêm (2026-10); bám chương trình GDPT 2018 và trình tự SGK đã chọn</t>
        </is>
      </c>
      <c r="AE21" s="3" t="inlineStr">
        <is>
          <t>Bản soạn mới — cần rà soát</t>
        </is>
      </c>
      <c r="AF21" s="3" t="inlineStr">
        <is>
          <t>Chờ giáo viên duyệt</t>
        </is>
      </c>
      <c r="AG21" s="3" t="n"/>
    </row>
    <row r="22">
      <c r="A22" s="3" t="inlineStr">
        <is>
          <t>EC1-106</t>
        </is>
      </c>
      <c r="B22" s="3" t="inlineStr">
        <is>
          <t>Tiếng Anh</t>
        </is>
      </c>
      <c r="C22" s="22" t="n">
        <v>1</v>
      </c>
      <c r="D22" s="3" t="inlineStr">
        <is>
          <t>Sau Unit 6</t>
        </is>
      </c>
      <c r="E22" s="3" t="inlineStr">
        <is>
          <t>This is my …</t>
        </is>
      </c>
      <c r="F22" s="23" t="n">
        <v>3</v>
      </c>
      <c r="G22" s="3" t="inlineStr">
        <is>
          <t>Vận dụng</t>
        </is>
      </c>
      <c r="H22" s="22" t="n"/>
      <c r="I22" s="3" t="n"/>
      <c r="J22" s="3" t="inlineStr">
        <is>
          <t>Chọn đáp án</t>
        </is>
      </c>
      <c r="K22" s="3" t="inlineStr">
        <is>
          <t>Hoàn thành câu: "This is my ___." (cái túi)</t>
        </is>
      </c>
      <c r="L22" s="3" t="inlineStr">
        <is>
          <t>bag</t>
        </is>
      </c>
      <c r="M22" s="3" t="inlineStr">
        <is>
          <t>bell</t>
        </is>
      </c>
      <c r="N22" s="3" t="inlineStr">
        <is>
          <t>bike</t>
        </is>
      </c>
      <c r="O22" s="3" t="n"/>
      <c r="P22" s="3" t="n"/>
      <c r="Q22" s="3" t="inlineStr">
        <is>
          <t>A</t>
        </is>
      </c>
      <c r="R22" s="3" t="inlineStr">
        <is>
          <t>bag – cái túi.</t>
        </is>
      </c>
      <c r="S22" s="3" t="inlineStr">
        <is>
          <t>"This is my bag." nghĩa là "Đây là cái túi của mình."</t>
        </is>
      </c>
      <c r="T22" s="22" t="n">
        <v>50</v>
      </c>
      <c r="U22" s="22">
        <f>INDEX(Khung_cap_do!$H$2:$H$6,F22)</f>
        <v/>
      </c>
      <c r="V22" s="22" t="n">
        <v>3</v>
      </c>
      <c r="W22" s="22" t="n">
        <v>5</v>
      </c>
      <c r="X22" s="3" t="inlineStr">
        <is>
          <t>A1.SCHOOL.01</t>
        </is>
      </c>
      <c r="Y22" s="3" t="inlineStr">
        <is>
          <t>TA.MAUCAU</t>
        </is>
      </c>
      <c r="Z22" s="3" t="inlineStr">
        <is>
          <t>Soạn thêm</t>
        </is>
      </c>
      <c r="AA22" s="3" t="inlineStr"/>
      <c r="AB22" s="3" t="inlineStr">
        <is>
          <t>Đã học bag (Unit 3), bell (Unit 6), bike (Unit 1).</t>
        </is>
      </c>
      <c r="AC22" s="3" t="inlineStr">
        <is>
          <t>Làm quen tiếng Anh lớp 1; từ vựng Global Success 1 (Unit 1–8).</t>
        </is>
      </c>
      <c r="AD22" s="3" t="inlineStr">
        <is>
          <t>EduChain Kids soạn thêm (2026-10); bám chương trình GDPT 2018 và trình tự SGK đã chọn</t>
        </is>
      </c>
      <c r="AE22" s="3" t="inlineStr">
        <is>
          <t>Bản soạn mới — cần rà soát</t>
        </is>
      </c>
      <c r="AF22" s="3" t="inlineStr">
        <is>
          <t>Chờ giáo viên duyệt</t>
        </is>
      </c>
      <c r="AG22" s="3" t="n"/>
    </row>
    <row r="23">
      <c r="A23" s="3" t="inlineStr">
        <is>
          <t>EC1-107</t>
        </is>
      </c>
      <c r="B23" s="3" t="inlineStr">
        <is>
          <t>Tiếng Anh</t>
        </is>
      </c>
      <c r="C23" s="22" t="n">
        <v>1</v>
      </c>
      <c r="D23" s="3" t="inlineStr">
        <is>
          <t>Sau Unit 3</t>
        </is>
      </c>
      <c r="E23" s="3" t="inlineStr">
        <is>
          <t>I have …</t>
        </is>
      </c>
      <c r="F23" s="23" t="n">
        <v>3</v>
      </c>
      <c r="G23" s="3" t="inlineStr">
        <is>
          <t>Vận dụng</t>
        </is>
      </c>
      <c r="H23" s="22" t="n"/>
      <c r="I23" s="3" t="n"/>
      <c r="J23" s="3" t="inlineStr">
        <is>
          <t>Điền đáp án</t>
        </is>
      </c>
      <c r="K23" s="3" t="inlineStr">
        <is>
          <t>Điền từ: "I have a ___." (quả bóng)</t>
        </is>
      </c>
      <c r="L23" s="3" t="n"/>
      <c r="M23" s="3" t="n"/>
      <c r="N23" s="3" t="n"/>
      <c r="O23" s="3" t="n"/>
      <c r="P23" s="3" t="n"/>
      <c r="Q23" s="3" t="inlineStr">
        <is>
          <t>ball</t>
        </is>
      </c>
      <c r="R23" s="3" t="inlineStr">
        <is>
          <t>ball – quả bóng.</t>
        </is>
      </c>
      <c r="S23" s="3" t="inlineStr">
        <is>
          <t>"I have a ball." nghĩa là "Mình có một quả bóng."</t>
        </is>
      </c>
      <c r="T23" s="22" t="n">
        <v>60</v>
      </c>
      <c r="U23" s="22">
        <f>INDEX(Khung_cap_do!$H$2:$H$6,F23)</f>
        <v/>
      </c>
      <c r="V23" s="22" t="n">
        <v>3</v>
      </c>
      <c r="W23" s="22" t="n">
        <v>6</v>
      </c>
      <c r="X23" s="3" t="inlineStr">
        <is>
          <t>A1.EXTRA.01</t>
        </is>
      </c>
      <c r="Y23" s="3" t="inlineStr">
        <is>
          <t>TA.MAUCAU</t>
        </is>
      </c>
      <c r="Z23" s="3" t="inlineStr">
        <is>
          <t>Soạn thêm</t>
        </is>
      </c>
      <c r="AA23" s="3" t="inlineStr"/>
      <c r="AB23" s="3" t="inlineStr">
        <is>
          <t>Đã học ball và mẫu câu I have a … .</t>
        </is>
      </c>
      <c r="AC23" s="3" t="inlineStr">
        <is>
          <t>Làm quen tiếng Anh lớp 1; từ vựng Global Success 1 (Unit 1–8).</t>
        </is>
      </c>
      <c r="AD23" s="3" t="inlineStr">
        <is>
          <t>EduChain Kids soạn thêm (2026-10); bám chương trình GDPT 2018 và trình tự SGK đã chọn</t>
        </is>
      </c>
      <c r="AE23" s="3" t="inlineStr">
        <is>
          <t>Bản soạn mới — cần rà soát</t>
        </is>
      </c>
      <c r="AF23" s="3" t="inlineStr">
        <is>
          <t>Chờ giáo viên duyệt</t>
        </is>
      </c>
      <c r="AG23" s="3" t="n"/>
    </row>
    <row r="24">
      <c r="A24" s="3" t="inlineStr">
        <is>
          <t>EC1-108</t>
        </is>
      </c>
      <c r="B24" s="3" t="inlineStr">
        <is>
          <t>Tiếng Anh</t>
        </is>
      </c>
      <c r="C24" s="22" t="n">
        <v>1</v>
      </c>
      <c r="D24" s="3" t="inlineStr">
        <is>
          <t>Sau Unit 7</t>
        </is>
      </c>
      <c r="E24" s="3" t="inlineStr">
        <is>
          <t>I can see …</t>
        </is>
      </c>
      <c r="F24" s="23" t="n">
        <v>3</v>
      </c>
      <c r="G24" s="3" t="inlineStr">
        <is>
          <t>Vận dụng</t>
        </is>
      </c>
      <c r="H24" s="22" t="n"/>
      <c r="I24" s="3" t="n"/>
      <c r="J24" s="3" t="inlineStr">
        <is>
          <t>Chọn đáp án</t>
        </is>
      </c>
      <c r="K24" s="3" t="inlineStr">
        <is>
          <t>Nghe "I can see a goat." Bạn nhìn thấy con gì?</t>
        </is>
      </c>
      <c r="L24" s="3" t="inlineStr">
        <is>
          <t>Con dê</t>
        </is>
      </c>
      <c r="M24" s="3" t="inlineStr">
        <is>
          <t>Con ngựa</t>
        </is>
      </c>
      <c r="N24" s="3" t="inlineStr">
        <is>
          <t>Con vịt</t>
        </is>
      </c>
      <c r="O24" s="3" t="n"/>
      <c r="P24" s="3" t="n"/>
      <c r="Q24" s="3" t="inlineStr">
        <is>
          <t>A</t>
        </is>
      </c>
      <c r="R24" s="3" t="inlineStr">
        <is>
          <t>goat – con dê.</t>
        </is>
      </c>
      <c r="S24" s="3" t="inlineStr">
        <is>
          <t>"I can see a goat." nghĩa là "Mình nhìn thấy một con dê."</t>
        </is>
      </c>
      <c r="T24" s="22" t="n">
        <v>50</v>
      </c>
      <c r="U24" s="22">
        <f>INDEX(Khung_cap_do!$H$2:$H$6,F24)</f>
        <v/>
      </c>
      <c r="V24" s="22" t="n">
        <v>4</v>
      </c>
      <c r="W24" s="22" t="n">
        <v>5</v>
      </c>
      <c r="X24" s="3" t="inlineStr">
        <is>
          <t>A1.ANIMAL.01</t>
        </is>
      </c>
      <c r="Y24" s="3" t="inlineStr">
        <is>
          <t>TA.TUVUNG</t>
        </is>
      </c>
      <c r="Z24" s="3" t="inlineStr">
        <is>
          <t>Soạn thêm</t>
        </is>
      </c>
      <c r="AA24" s="3" t="inlineStr"/>
      <c r="AB24" s="3" t="inlineStr">
        <is>
          <t>Đã học goat và mẫu câu I can see … .</t>
        </is>
      </c>
      <c r="AC24" s="3" t="inlineStr">
        <is>
          <t>Làm quen tiếng Anh lớp 1; từ vựng Global Success 1 (Unit 1–8).</t>
        </is>
      </c>
      <c r="AD24" s="3" t="inlineStr">
        <is>
          <t>EduChain Kids soạn thêm (2026-10); bám chương trình GDPT 2018 và trình tự SGK đã chọn</t>
        </is>
      </c>
      <c r="AE24" s="3" t="inlineStr">
        <is>
          <t>Bản soạn mới — cần rà soát</t>
        </is>
      </c>
      <c r="AF24" s="3" t="inlineStr">
        <is>
          <t>Chờ giáo viên duyệt</t>
        </is>
      </c>
      <c r="AG24" s="3" t="n"/>
    </row>
    <row r="25">
      <c r="A25" s="3" t="inlineStr">
        <is>
          <t>EC1-109</t>
        </is>
      </c>
      <c r="B25" s="3" t="inlineStr">
        <is>
          <t>Tiếng Anh</t>
        </is>
      </c>
      <c r="C25" s="22" t="n">
        <v>1</v>
      </c>
      <c r="D25" s="3" t="inlineStr">
        <is>
          <t>Sau Unit 8</t>
        </is>
      </c>
      <c r="E25" s="3" t="inlineStr">
        <is>
          <t>Body parts</t>
        </is>
      </c>
      <c r="F25" s="23" t="n">
        <v>3</v>
      </c>
      <c r="G25" s="3" t="inlineStr">
        <is>
          <t>Vận dụng</t>
        </is>
      </c>
      <c r="H25" s="22" t="n"/>
      <c r="I25" s="3" t="n"/>
      <c r="J25" s="3" t="inlineStr">
        <is>
          <t>Ghép cặp</t>
        </is>
      </c>
      <c r="K25" s="3" t="inlineStr">
        <is>
          <t>Nối từ với bộ phận cơ thể.
(Vế trái: hand / head / hair · Vế phải: bàn tay / cái đầu / mái tóc)</t>
        </is>
      </c>
      <c r="L25" s="3" t="n"/>
      <c r="M25" s="3" t="n"/>
      <c r="N25" s="3" t="n"/>
      <c r="O25" s="3" t="n"/>
      <c r="P25" s="3" t="n"/>
      <c r="Q25" s="3" t="inlineStr">
        <is>
          <t>hand – bàn tay; head – cái đầu; hair – mái tóc</t>
        </is>
      </c>
      <c r="R25" s="3" t="inlineStr">
        <is>
          <t>hand – bàn tay, head – cái đầu, hair – mái tóc.</t>
        </is>
      </c>
      <c r="S25" s="3" t="inlineStr">
        <is>
          <t>Ba từ đều bắt đầu bằng h. Hand là bàn tay, head là cái đầu, hair là mái tóc.</t>
        </is>
      </c>
      <c r="T25" s="22" t="n">
        <v>65</v>
      </c>
      <c r="U25" s="22">
        <f>INDEX(Khung_cap_do!$H$2:$H$6,F25)</f>
        <v/>
      </c>
      <c r="V25" s="22" t="n">
        <v>4</v>
      </c>
      <c r="W25" s="22" t="n">
        <v>6</v>
      </c>
      <c r="X25" s="3" t="inlineStr">
        <is>
          <t>A1.EXTRA.03</t>
        </is>
      </c>
      <c r="Y25" s="3" t="inlineStr">
        <is>
          <t>TA.NOINGHIA</t>
        </is>
      </c>
      <c r="Z25" s="3" t="inlineStr">
        <is>
          <t>Soạn thêm</t>
        </is>
      </c>
      <c r="AA25" s="3" t="inlineStr"/>
      <c r="AB25" s="3" t="inlineStr">
        <is>
          <t>Đã học hand, head, hair (Unit 8).</t>
        </is>
      </c>
      <c r="AC25" s="3" t="inlineStr">
        <is>
          <t>Làm quen tiếng Anh lớp 1; từ vựng Global Success 1 (Unit 1–8).</t>
        </is>
      </c>
      <c r="AD25" s="3" t="inlineStr">
        <is>
          <t>EduChain Kids soạn thêm (2026-10); bám chương trình GDPT 2018 và trình tự SGK đã chọn</t>
        </is>
      </c>
      <c r="AE25" s="3" t="inlineStr">
        <is>
          <t>Bản soạn mới — cần rà soát</t>
        </is>
      </c>
      <c r="AF25" s="3" t="inlineStr">
        <is>
          <t>Chờ giáo viên duyệt</t>
        </is>
      </c>
      <c r="AG25" s="3" t="n"/>
    </row>
    <row r="26">
      <c r="A26" s="3" t="inlineStr">
        <is>
          <t>EC1-040</t>
        </is>
      </c>
      <c r="B26" s="3" t="inlineStr">
        <is>
          <t>Tiếng Anh</t>
        </is>
      </c>
      <c r="C26" s="22" t="n">
        <v>1</v>
      </c>
      <c r="D26" s="3" t="inlineStr">
        <is>
          <t>Theo chương trình trường lựa chọn</t>
        </is>
      </c>
      <c r="E26" s="3" t="inlineStr">
        <is>
          <t>Listening instructions</t>
        </is>
      </c>
      <c r="F26" s="23" t="n">
        <v>4</v>
      </c>
      <c r="G26" s="3" t="inlineStr">
        <is>
          <t>Thử thách</t>
        </is>
      </c>
      <c r="H26" s="22" t="n"/>
      <c r="I26" s="3" t="n"/>
      <c r="J26" s="3" t="inlineStr">
        <is>
          <t>Nghe / chọn tranh</t>
        </is>
      </c>
      <c r="K26" s="3" t="inlineStr">
        <is>
          <t>Nghe “Point to the red book.” Chọn hình đúng.</t>
        </is>
      </c>
      <c r="L26" s="3" t="inlineStr">
        <is>
          <t>Sách đỏ</t>
        </is>
      </c>
      <c r="M26" s="3" t="inlineStr">
        <is>
          <t>Sách xanh</t>
        </is>
      </c>
      <c r="N26" s="3" t="inlineStr">
        <is>
          <t>Táo đỏ</t>
        </is>
      </c>
      <c r="O26" s="3" t="n"/>
      <c r="P26" s="3" t="n"/>
      <c r="Q26" s="3" t="inlineStr">
        <is>
          <t>A</t>
        </is>
      </c>
      <c r="R26" s="3" t="inlineStr">
        <is>
          <t>Chọn quyển sách màu đỏ.</t>
        </is>
      </c>
      <c r="S26" s="3" t="inlineStr">
        <is>
          <t>red book = quyển sách màu đỏ. Phải đúng cả màu (red) và đồ vật (book).</t>
        </is>
      </c>
      <c r="T26" s="22" t="n">
        <v>60</v>
      </c>
      <c r="U26" s="22">
        <f>INDEX(Khung_cap_do!$H$2:$H$6,F26)</f>
        <v/>
      </c>
      <c r="V26" s="22" t="n">
        <v>1</v>
      </c>
      <c r="W26" s="22" t="n">
        <v>7</v>
      </c>
      <c r="X26" s="3" t="inlineStr">
        <is>
          <t>A1.COLOUR.01</t>
        </is>
      </c>
      <c r="Y26" s="3" t="inlineStr">
        <is>
          <t>TA.TUVUNG</t>
        </is>
      </c>
      <c r="Z26" s="3" t="inlineStr">
        <is>
          <t>Bộ mẫu</t>
        </is>
      </c>
      <c r="AA26" s="3" t="inlineStr">
        <is>
          <t>[Chọn đáp án] Nghe "Point to the red book." Chọn hình đúng.
A. Sách đỏ | B. Sách xanh | C. Táo đỏ
Đáp án: A</t>
        </is>
      </c>
      <c r="AB26" s="3" t="inlineStr">
        <is>
          <t>Red, book và chỉ dẫn đã được luyện.</t>
        </is>
      </c>
      <c r="AC26" s="3" t="inlineStr">
        <is>
          <t>Cần audio và xác nhận tất cả từ đã học.</t>
        </is>
      </c>
      <c r="AD26" s="3" t="inlineStr">
        <is>
          <t>Chương trình GDPT 2018 / kế hoạch dạy học của trường; đối chiếu văn bản hiện hành</t>
        </is>
      </c>
      <c r="AE26" s="3" t="inlineStr">
        <is>
          <t>Bản mẫu — cần rà soát</t>
        </is>
      </c>
      <c r="AF26" s="3" t="inlineStr">
        <is>
          <t>Chờ giáo viên duyệt</t>
        </is>
      </c>
      <c r="AG26" s="3" t="n"/>
    </row>
    <row r="27">
      <c r="A27" s="3" t="inlineStr">
        <is>
          <t>EC1-041</t>
        </is>
      </c>
      <c r="B27" s="3" t="inlineStr">
        <is>
          <t>Tiếng Anh</t>
        </is>
      </c>
      <c r="C27" s="22" t="n">
        <v>1</v>
      </c>
      <c r="D27" s="3" t="inlineStr">
        <is>
          <t>Theo chương trình trường lựa chọn</t>
        </is>
      </c>
      <c r="E27" s="3" t="inlineStr">
        <is>
          <t>Simple responses</t>
        </is>
      </c>
      <c r="F27" s="23" t="n">
        <v>4</v>
      </c>
      <c r="G27" s="3" t="inlineStr">
        <is>
          <t>Thử thách</t>
        </is>
      </c>
      <c r="H27" s="22" t="n"/>
      <c r="I27" s="3" t="n"/>
      <c r="J27" s="3" t="inlineStr">
        <is>
          <t>Chọn đáp án</t>
        </is>
      </c>
      <c r="K27" s="3" t="inlineStr">
        <is>
          <t>Nếu bạn nói “Thank you”, câu đáp nào phù hợp?</t>
        </is>
      </c>
      <c r="L27" s="3" t="inlineStr">
        <is>
          <t>You’re welcome.</t>
        </is>
      </c>
      <c r="M27" s="3" t="inlineStr">
        <is>
          <t>Good morning.</t>
        </is>
      </c>
      <c r="N27" s="3" t="inlineStr">
        <is>
          <t>It’s a pen.</t>
        </is>
      </c>
      <c r="O27" s="3" t="n"/>
      <c r="P27" s="3" t="n"/>
      <c r="Q27" s="3" t="inlineStr">
        <is>
          <t>A</t>
        </is>
      </c>
      <c r="R27" s="3" t="inlineStr">
        <is>
          <t>You’re welcome là một cách đáp lời cảm ơn.</t>
        </is>
      </c>
      <c r="S27" s="3" t="inlineStr">
        <is>
          <t>Thank you là lời cảm ơn; đáp lại bằng You're welcome (Không có gì).</t>
        </is>
      </c>
      <c r="T27" s="22" t="n">
        <v>60</v>
      </c>
      <c r="U27" s="22">
        <f>INDEX(Khung_cap_do!$H$2:$H$6,F27)</f>
        <v/>
      </c>
      <c r="V27" s="22" t="n">
        <v>1</v>
      </c>
      <c r="W27" s="22" t="n">
        <v>8</v>
      </c>
      <c r="X27" s="3" t="inlineStr">
        <is>
          <t>A1.HELLO.01</t>
        </is>
      </c>
      <c r="Y27" s="3" t="inlineStr">
        <is>
          <t>TA.MAUCAU</t>
        </is>
      </c>
      <c r="Z27" s="3" t="inlineStr">
        <is>
          <t>Bộ mẫu</t>
        </is>
      </c>
      <c r="AA27" s="3" t="inlineStr">
        <is>
          <t>[Chọn đáp án] Nếu bạn nói "Thank you", câu đáp nào phù hợp?
A. You're welcome. | B. Good morning. | C. It's a pen.
Đáp án: A</t>
        </is>
      </c>
      <c r="AB27" s="3" t="inlineStr">
        <is>
          <t>Hai mẫu câu đều đã được dạy.</t>
        </is>
      </c>
      <c r="AC27" s="3" t="inlineStr">
        <is>
          <t>Chỉ phát hành nếu mẫu câu có trong giáo trình.</t>
        </is>
      </c>
      <c r="AD27" s="3" t="inlineStr">
        <is>
          <t>Chương trình GDPT 2018 / kế hoạch dạy học của trường; đối chiếu văn bản hiện hành</t>
        </is>
      </c>
      <c r="AE27" s="3" t="inlineStr">
        <is>
          <t>Bản mẫu — cần rà soát</t>
        </is>
      </c>
      <c r="AF27" s="3" t="inlineStr">
        <is>
          <t>Chờ giáo viên duyệt</t>
        </is>
      </c>
      <c r="AG27" s="3" t="n"/>
    </row>
    <row r="28">
      <c r="A28" s="3" t="inlineStr">
        <is>
          <t>EC1-042</t>
        </is>
      </c>
      <c r="B28" s="3" t="inlineStr">
        <is>
          <t>Tiếng Anh</t>
        </is>
      </c>
      <c r="C28" s="22" t="n">
        <v>1</v>
      </c>
      <c r="D28" s="3" t="inlineStr">
        <is>
          <t>Theo chương trình trường lựa chọn</t>
        </is>
      </c>
      <c r="E28" s="3" t="inlineStr">
        <is>
          <t>Listening comprehension</t>
        </is>
      </c>
      <c r="F28" s="23" t="n">
        <v>4</v>
      </c>
      <c r="G28" s="3" t="inlineStr">
        <is>
          <t>Thử thách</t>
        </is>
      </c>
      <c r="H28" s="22" t="n"/>
      <c r="I28" s="3" t="n"/>
      <c r="J28" s="3" t="inlineStr">
        <is>
          <t>Nghe / chọn tranh</t>
        </is>
      </c>
      <c r="K28" s="3" t="inlineStr">
        <is>
          <t>Nghe “I see a dog.” Chọn hình đúng.</t>
        </is>
      </c>
      <c r="L28" s="3" t="inlineStr">
        <is>
          <t>Con chó</t>
        </is>
      </c>
      <c r="M28" s="3" t="inlineStr">
        <is>
          <t>Con mèo</t>
        </is>
      </c>
      <c r="N28" s="3" t="inlineStr">
        <is>
          <t>Con cá</t>
        </is>
      </c>
      <c r="O28" s="3" t="n"/>
      <c r="P28" s="3" t="n"/>
      <c r="Q28" s="3" t="inlineStr">
        <is>
          <t>A</t>
        </is>
      </c>
      <c r="R28" s="3" t="inlineStr">
        <is>
          <t>Câu nói đến dog.</t>
        </is>
      </c>
      <c r="S28" s="3" t="inlineStr">
        <is>
          <t>"I see a dog." nghĩa là "Mình thấy một con chó." Dog là con chó.</t>
        </is>
      </c>
      <c r="T28" s="22" t="n">
        <v>60</v>
      </c>
      <c r="U28" s="22">
        <f>INDEX(Khung_cap_do!$H$2:$H$6,F28)</f>
        <v/>
      </c>
      <c r="V28" s="22" t="n">
        <v>2</v>
      </c>
      <c r="W28" s="22" t="n">
        <v>7</v>
      </c>
      <c r="X28" s="3" t="inlineStr">
        <is>
          <t>A1.ANIMAL.01</t>
        </is>
      </c>
      <c r="Y28" s="3" t="inlineStr">
        <is>
          <t>TA.TUVUNG</t>
        </is>
      </c>
      <c r="Z28" s="3" t="inlineStr">
        <is>
          <t>Bộ mẫu</t>
        </is>
      </c>
      <c r="AA28" s="3" t="inlineStr">
        <is>
          <t>[Chọn đáp án] Nghe "I see a dog." Chọn hình đúng.
A. Con chó | B. Con mèo | C. Con cá
Đáp án: A</t>
        </is>
      </c>
      <c r="AB28" s="3" t="inlineStr">
        <is>
          <t>Từ dog và mẫu câu đã được dạy; audio rõ.</t>
        </is>
      </c>
      <c r="AC28" s="3" t="inlineStr">
        <is>
          <t>Mẫu nội bộ; cần audio giáo viên kiểm duyệt.</t>
        </is>
      </c>
      <c r="AD28" s="3" t="inlineStr">
        <is>
          <t>Chương trình GDPT 2018 / kế hoạch dạy học của trường; đối chiếu văn bản hiện hành</t>
        </is>
      </c>
      <c r="AE28" s="3" t="inlineStr">
        <is>
          <t>Bản mẫu — cần rà soát</t>
        </is>
      </c>
      <c r="AF28" s="3" t="inlineStr">
        <is>
          <t>Chờ giáo viên duyệt</t>
        </is>
      </c>
      <c r="AG28" s="3" t="n"/>
    </row>
    <row r="29">
      <c r="A29" s="3" t="inlineStr">
        <is>
          <t>EC1-110</t>
        </is>
      </c>
      <c r="B29" s="3" t="inlineStr">
        <is>
          <t>Tiếng Anh</t>
        </is>
      </c>
      <c r="C29" s="22" t="n">
        <v>1</v>
      </c>
      <c r="D29" s="3" t="inlineStr">
        <is>
          <t>Sau Unit 6</t>
        </is>
      </c>
      <c r="E29" s="3" t="inlineStr">
        <is>
          <t>Colours + objects</t>
        </is>
      </c>
      <c r="F29" s="23" t="n">
        <v>4</v>
      </c>
      <c r="G29" s="3" t="inlineStr">
        <is>
          <t>Thử thách</t>
        </is>
      </c>
      <c r="H29" s="22" t="n"/>
      <c r="I29" s="3" t="n"/>
      <c r="J29" s="3" t="inlineStr">
        <is>
          <t>Chọn đáp án</t>
        </is>
      </c>
      <c r="K29" s="3" t="inlineStr">
        <is>
          <t>Nghe "a red pen". Chọn hình đúng.</t>
        </is>
      </c>
      <c r="L29" s="3" t="inlineStr">
        <is>
          <t>🖊️ bút mực màu đỏ</t>
        </is>
      </c>
      <c r="M29" s="3" t="inlineStr">
        <is>
          <t>🖊️ bút mực màu xanh</t>
        </is>
      </c>
      <c r="N29" s="3" t="inlineStr">
        <is>
          <t>✏️ bút chì màu đỏ</t>
        </is>
      </c>
      <c r="O29" s="3" t="n"/>
      <c r="P29" s="3" t="n"/>
      <c r="Q29" s="3" t="inlineStr">
        <is>
          <t>A</t>
        </is>
      </c>
      <c r="R29" s="3" t="inlineStr">
        <is>
          <t>red pen – bút mực màu đỏ.</t>
        </is>
      </c>
      <c r="S29" s="3" t="inlineStr">
        <is>
          <t>Phải đúng cả hai: màu red (đỏ) và đồ vật pen (bút mực).</t>
        </is>
      </c>
      <c r="T29" s="22" t="n">
        <v>60</v>
      </c>
      <c r="U29" s="22">
        <f>INDEX(Khung_cap_do!$H$2:$H$6,F29)</f>
        <v/>
      </c>
      <c r="V29" s="22" t="n">
        <v>2</v>
      </c>
      <c r="W29" s="22" t="n">
        <v>8</v>
      </c>
      <c r="X29" s="3" t="inlineStr">
        <is>
          <t>A1.COLOUR.01</t>
        </is>
      </c>
      <c r="Y29" s="3" t="inlineStr">
        <is>
          <t>TA.TUVUNG</t>
        </is>
      </c>
      <c r="Z29" s="3" t="inlineStr">
        <is>
          <t>Soạn thêm</t>
        </is>
      </c>
      <c r="AA29" s="3" t="inlineStr"/>
      <c r="AB29" s="3" t="inlineStr">
        <is>
          <t>Đã học red, pen, pencil (Unit 6).</t>
        </is>
      </c>
      <c r="AC29" s="3" t="inlineStr">
        <is>
          <t>Làm quen tiếng Anh lớp 1; từ vựng Global Success 1 (Unit 1–8).</t>
        </is>
      </c>
      <c r="AD29" s="3" t="inlineStr">
        <is>
          <t>EduChain Kids soạn thêm (2026-10); bám chương trình GDPT 2018 và trình tự SGK đã chọn</t>
        </is>
      </c>
      <c r="AE29" s="3" t="inlineStr">
        <is>
          <t>Bản soạn mới — cần rà soát</t>
        </is>
      </c>
      <c r="AF29" s="3" t="inlineStr">
        <is>
          <t>Chờ giáo viên duyệt</t>
        </is>
      </c>
      <c r="AG29" s="3" t="n"/>
    </row>
    <row r="30">
      <c r="A30" s="3" t="inlineStr">
        <is>
          <t>EC1-111</t>
        </is>
      </c>
      <c r="B30" s="3" t="inlineStr">
        <is>
          <t>Tiếng Anh</t>
        </is>
      </c>
      <c r="C30" s="22" t="n">
        <v>1</v>
      </c>
      <c r="D30" s="3" t="inlineStr">
        <is>
          <t>Sau Unit 4</t>
        </is>
      </c>
      <c r="E30" s="3" t="inlineStr">
        <is>
          <t>I can see …</t>
        </is>
      </c>
      <c r="F30" s="23" t="n">
        <v>4</v>
      </c>
      <c r="G30" s="3" t="inlineStr">
        <is>
          <t>Thử thách</t>
        </is>
      </c>
      <c r="H30" s="22" t="n"/>
      <c r="I30" s="3" t="n"/>
      <c r="J30" s="3" t="inlineStr">
        <is>
          <t>Sắp xếp</t>
        </is>
      </c>
      <c r="K30" s="3" t="inlineStr">
        <is>
          <t>Xếp các từ thành câu: "a / I / duck / see / can"
(Các mục: I / a / can / duck / see)</t>
        </is>
      </c>
      <c r="L30" s="3" t="n"/>
      <c r="M30" s="3" t="n"/>
      <c r="N30" s="3" t="n"/>
      <c r="O30" s="3" t="n"/>
      <c r="P30" s="3" t="n"/>
      <c r="Q30" s="3" t="inlineStr">
        <is>
          <t>I → can → see → a → duck</t>
        </is>
      </c>
      <c r="R30" s="3" t="inlineStr">
        <is>
          <t>I can see a duck.</t>
        </is>
      </c>
      <c r="S30" s="3" t="inlineStr">
        <is>
          <t>Mẫu câu "I can see a …" (Mình nhìn thấy một …). Câu đúng: I can see a duck.</t>
        </is>
      </c>
      <c r="T30" s="22" t="n">
        <v>75</v>
      </c>
      <c r="U30" s="22">
        <f>INDEX(Khung_cap_do!$H$2:$H$6,F30)</f>
        <v/>
      </c>
      <c r="V30" s="22" t="n">
        <v>3</v>
      </c>
      <c r="W30" s="22" t="n">
        <v>7</v>
      </c>
      <c r="X30" s="3" t="inlineStr">
        <is>
          <t>A1.ANIMAL.01</t>
        </is>
      </c>
      <c r="Y30" s="3" t="inlineStr">
        <is>
          <t>TA.MAUCAU</t>
        </is>
      </c>
      <c r="Z30" s="3" t="inlineStr">
        <is>
          <t>Soạn thêm</t>
        </is>
      </c>
      <c r="AA30" s="3" t="inlineStr"/>
      <c r="AB30" s="3" t="inlineStr">
        <is>
          <t>Đã học duck và mẫu câu I can see … .</t>
        </is>
      </c>
      <c r="AC30" s="3" t="inlineStr">
        <is>
          <t>Làm quen tiếng Anh lớp 1; từ vựng Global Success 1 (Unit 1–8).</t>
        </is>
      </c>
      <c r="AD30" s="3" t="inlineStr">
        <is>
          <t>EduChain Kids soạn thêm (2026-10); bám chương trình GDPT 2018 và trình tự SGK đã chọn</t>
        </is>
      </c>
      <c r="AE30" s="3" t="inlineStr">
        <is>
          <t>Bản soạn mới — cần rà soát</t>
        </is>
      </c>
      <c r="AF30" s="3" t="inlineStr">
        <is>
          <t>Chờ giáo viên duyệt</t>
        </is>
      </c>
      <c r="AG30" s="3" t="n"/>
    </row>
    <row r="31">
      <c r="A31" s="3" t="inlineStr">
        <is>
          <t>EC1-112</t>
        </is>
      </c>
      <c r="B31" s="3" t="inlineStr">
        <is>
          <t>Tiếng Anh</t>
        </is>
      </c>
      <c r="C31" s="22" t="n">
        <v>1</v>
      </c>
      <c r="D31" s="3" t="inlineStr">
        <is>
          <t>Sau Unit 8</t>
        </is>
      </c>
      <c r="E31" s="3" t="inlineStr">
        <is>
          <t>I can see …</t>
        </is>
      </c>
      <c r="F31" s="23" t="n">
        <v>4</v>
      </c>
      <c r="G31" s="3" t="inlineStr">
        <is>
          <t>Thử thách</t>
        </is>
      </c>
      <c r="H31" s="22" t="n"/>
      <c r="I31" s="3" t="n"/>
      <c r="J31" s="3" t="inlineStr">
        <is>
          <t>Đúng / Sai</t>
        </is>
      </c>
      <c r="K31" s="3" t="inlineStr">
        <is>
          <t>"I can see a horse." nghĩa là "Mình nhìn thấy một con ngựa."</t>
        </is>
      </c>
      <c r="L31" s="3" t="inlineStr">
        <is>
          <t>Đúng</t>
        </is>
      </c>
      <c r="M31" s="3" t="inlineStr">
        <is>
          <t>Sai</t>
        </is>
      </c>
      <c r="N31" s="3" t="n"/>
      <c r="O31" s="3" t="n"/>
      <c r="P31" s="3" t="n"/>
      <c r="Q31" s="3" t="inlineStr">
        <is>
          <t>A</t>
        </is>
      </c>
      <c r="R31" s="3" t="inlineStr">
        <is>
          <t>horse – con ngựa; I can see – mình nhìn thấy.</t>
        </is>
      </c>
      <c r="S31" s="3" t="inlineStr">
        <is>
          <t>I can see = mình nhìn thấy; a horse = một con ngựa. Câu dịch đúng.</t>
        </is>
      </c>
      <c r="T31" s="22" t="n">
        <v>60</v>
      </c>
      <c r="U31" s="22">
        <f>INDEX(Khung_cap_do!$H$2:$H$6,F31)</f>
        <v/>
      </c>
      <c r="V31" s="22" t="n">
        <v>3</v>
      </c>
      <c r="W31" s="22" t="n">
        <v>8</v>
      </c>
      <c r="X31" s="3" t="inlineStr">
        <is>
          <t>A1.ANIMAL.01</t>
        </is>
      </c>
      <c r="Y31" s="3" t="inlineStr">
        <is>
          <t>TA.TUVUNG</t>
        </is>
      </c>
      <c r="Z31" s="3" t="inlineStr">
        <is>
          <t>Soạn thêm</t>
        </is>
      </c>
      <c r="AA31" s="3" t="inlineStr"/>
      <c r="AB31" s="3" t="inlineStr">
        <is>
          <t>Đã học horse (Unit 8).</t>
        </is>
      </c>
      <c r="AC31" s="3" t="inlineStr">
        <is>
          <t>Làm quen tiếng Anh lớp 1; từ vựng Global Success 1 (Unit 1–8).</t>
        </is>
      </c>
      <c r="AD31" s="3" t="inlineStr">
        <is>
          <t>EduChain Kids soạn thêm (2026-10); bám chương trình GDPT 2018 và trình tự SGK đã chọn</t>
        </is>
      </c>
      <c r="AE31" s="3" t="inlineStr">
        <is>
          <t>Bản soạn mới — cần rà soát</t>
        </is>
      </c>
      <c r="AF31" s="3" t="inlineStr">
        <is>
          <t>Chờ giáo viên duyệt</t>
        </is>
      </c>
      <c r="AG31" s="3" t="n"/>
    </row>
    <row r="32">
      <c r="A32" s="3" t="inlineStr">
        <is>
          <t>EC1-113</t>
        </is>
      </c>
      <c r="B32" s="3" t="inlineStr">
        <is>
          <t>Tiếng Anh</t>
        </is>
      </c>
      <c r="C32" s="22" t="n">
        <v>1</v>
      </c>
      <c r="D32" s="3" t="inlineStr">
        <is>
          <t>Sau Unit 7</t>
        </is>
      </c>
      <c r="E32" s="3" t="inlineStr">
        <is>
          <t>Letter g</t>
        </is>
      </c>
      <c r="F32" s="23" t="n">
        <v>4</v>
      </c>
      <c r="G32" s="3" t="inlineStr">
        <is>
          <t>Thử thách</t>
        </is>
      </c>
      <c r="H32" s="22" t="n"/>
      <c r="I32" s="3" t="n"/>
      <c r="J32" s="3" t="inlineStr">
        <is>
          <t>Chọn nhiều đáp án</t>
        </is>
      </c>
      <c r="K32" s="3" t="inlineStr">
        <is>
          <t>Chọn TẤT CẢ từ bắt đầu bằng chữ "g".</t>
        </is>
      </c>
      <c r="L32" s="3" t="inlineStr">
        <is>
          <t>girl</t>
        </is>
      </c>
      <c r="M32" s="3" t="inlineStr">
        <is>
          <t>gate</t>
        </is>
      </c>
      <c r="N32" s="3" t="inlineStr">
        <is>
          <t>goat</t>
        </is>
      </c>
      <c r="O32" s="3" t="inlineStr">
        <is>
          <t>duck</t>
        </is>
      </c>
      <c r="P32" s="3" t="n"/>
      <c r="Q32" s="3" t="inlineStr">
        <is>
          <t>A, B, C</t>
        </is>
      </c>
      <c r="R32" s="3" t="inlineStr">
        <is>
          <t>girl, gate, goat bắt đầu bằng g.</t>
        </is>
      </c>
      <c r="S32" s="3" t="inlineStr">
        <is>
          <t>Nhìn chữ cái đầu: girl, gate, goat bắt đầu bằng g; duck bắt đầu bằng d.</t>
        </is>
      </c>
      <c r="T32" s="22" t="n">
        <v>70</v>
      </c>
      <c r="U32" s="22">
        <f>INDEX(Khung_cap_do!$H$2:$H$6,F32)</f>
        <v/>
      </c>
      <c r="V32" s="22" t="n">
        <v>4</v>
      </c>
      <c r="W32" s="22" t="n">
        <v>7</v>
      </c>
      <c r="X32" s="3" t="inlineStr">
        <is>
          <t>A1.ABC.02</t>
        </is>
      </c>
      <c r="Y32" s="3" t="inlineStr">
        <is>
          <t>TA.NHOMTU</t>
        </is>
      </c>
      <c r="Z32" s="3" t="inlineStr">
        <is>
          <t>Soạn thêm</t>
        </is>
      </c>
      <c r="AA32" s="3" t="inlineStr"/>
      <c r="AB32" s="3" t="inlineStr">
        <is>
          <t>Đã học chữ g và các từ của Unit 7.</t>
        </is>
      </c>
      <c r="AC32" s="3" t="inlineStr">
        <is>
          <t>Làm quen tiếng Anh lớp 1; từ vựng Global Success 1 (Unit 1–8).</t>
        </is>
      </c>
      <c r="AD32" s="3" t="inlineStr">
        <is>
          <t>EduChain Kids soạn thêm (2026-10); bám chương trình GDPT 2018 và trình tự SGK đã chọn</t>
        </is>
      </c>
      <c r="AE32" s="3" t="inlineStr">
        <is>
          <t>Bản soạn mới — cần rà soát</t>
        </is>
      </c>
      <c r="AF32" s="3" t="inlineStr">
        <is>
          <t>Chờ giáo viên duyệt</t>
        </is>
      </c>
      <c r="AG32" s="3" t="n"/>
    </row>
    <row r="33">
      <c r="A33" s="3" t="inlineStr">
        <is>
          <t>EC1-114</t>
        </is>
      </c>
      <c r="B33" s="3" t="inlineStr">
        <is>
          <t>Tiếng Anh</t>
        </is>
      </c>
      <c r="C33" s="22" t="n">
        <v>1</v>
      </c>
      <c r="D33" s="3" t="inlineStr">
        <is>
          <t>Sau Unit 4</t>
        </is>
      </c>
      <c r="E33" s="3" t="inlineStr">
        <is>
          <t>Spelling</t>
        </is>
      </c>
      <c r="F33" s="23" t="n">
        <v>4</v>
      </c>
      <c r="G33" s="3" t="inlineStr">
        <is>
          <t>Thử thách</t>
        </is>
      </c>
      <c r="H33" s="22" t="n"/>
      <c r="I33" s="3" t="n"/>
      <c r="J33" s="3" t="inlineStr">
        <is>
          <t>Điền đáp án</t>
        </is>
      </c>
      <c r="K33" s="3" t="inlineStr">
        <is>
          <t>Điền 2 chữ cái còn thiếu: d _ _ k (con vịt)</t>
        </is>
      </c>
      <c r="L33" s="3" t="n"/>
      <c r="M33" s="3" t="n"/>
      <c r="N33" s="3" t="n"/>
      <c r="O33" s="3" t="n"/>
      <c r="P33" s="3" t="n"/>
      <c r="Q33" s="3" t="inlineStr">
        <is>
          <t>uc / u c</t>
        </is>
      </c>
      <c r="R33" s="3" t="inlineStr">
        <is>
          <t>duck: d – u – c – k.</t>
        </is>
      </c>
      <c r="S33" s="3" t="inlineStr">
        <is>
          <t>Con vịt là duck, đánh vần d – u – c – k. Hai chữ còn thiếu là u, c.</t>
        </is>
      </c>
      <c r="T33" s="22" t="n">
        <v>70</v>
      </c>
      <c r="U33" s="22">
        <f>INDEX(Khung_cap_do!$H$2:$H$6,F33)</f>
        <v/>
      </c>
      <c r="V33" s="22" t="n">
        <v>4</v>
      </c>
      <c r="W33" s="22" t="n">
        <v>8</v>
      </c>
      <c r="X33" s="3" t="inlineStr">
        <is>
          <t>A1.ABC.02</t>
        </is>
      </c>
      <c r="Y33" s="3" t="inlineStr">
        <is>
          <t>TA.CHUCAI</t>
        </is>
      </c>
      <c r="Z33" s="3" t="inlineStr">
        <is>
          <t>Soạn thêm</t>
        </is>
      </c>
      <c r="AA33" s="3" t="inlineStr"/>
      <c r="AB33" s="3" t="inlineStr">
        <is>
          <t>Đã học duck (Unit 4).</t>
        </is>
      </c>
      <c r="AC33" s="3" t="inlineStr">
        <is>
          <t>Làm quen tiếng Anh lớp 1; từ vựng Global Success 1 (Unit 1–8).</t>
        </is>
      </c>
      <c r="AD33" s="3" t="inlineStr">
        <is>
          <t>EduChain Kids soạn thêm (2026-10); bám chương trình GDPT 2018 và trình tự SGK đã chọn</t>
        </is>
      </c>
      <c r="AE33" s="3" t="inlineStr">
        <is>
          <t>Bản soạn mới — cần rà soát</t>
        </is>
      </c>
      <c r="AF33" s="3" t="inlineStr">
        <is>
          <t>Chờ giáo viên duyệt</t>
        </is>
      </c>
      <c r="AG33" s="3" t="n"/>
    </row>
    <row r="34">
      <c r="A34" s="3" t="inlineStr">
        <is>
          <t>EC1-043</t>
        </is>
      </c>
      <c r="B34" s="3" t="inlineStr">
        <is>
          <t>Tiếng Anh</t>
        </is>
      </c>
      <c r="C34" s="22" t="n">
        <v>1</v>
      </c>
      <c r="D34" s="3" t="inlineStr">
        <is>
          <t>Theo chương trình trường lựa chọn</t>
        </is>
      </c>
      <c r="E34" s="3" t="inlineStr">
        <is>
          <t>Personal response</t>
        </is>
      </c>
      <c r="F34" s="23" t="n">
        <v>5</v>
      </c>
      <c r="G34" s="3" t="inlineStr">
        <is>
          <t>Mở rộng</t>
        </is>
      </c>
      <c r="H34" s="22" t="n"/>
      <c r="I34" s="3" t="n"/>
      <c r="J34" s="3" t="inlineStr">
        <is>
          <t>Nói / ghi âm</t>
        </is>
      </c>
      <c r="K34" s="3" t="inlineStr">
        <is>
          <t>Nếu đã học “I like ___”, nói một từ chỉ con vật em thích để hoàn thành câu.</t>
        </is>
      </c>
      <c r="L34" s="3" t="n"/>
      <c r="M34" s="3" t="n"/>
      <c r="N34" s="3" t="n"/>
      <c r="O34" s="3" t="n"/>
      <c r="P34" s="3" t="n"/>
      <c r="Q34" s="3" t="inlineStr">
        <is>
          <t>Ví dụ: I like cats.</t>
        </is>
      </c>
      <c r="R34" s="3" t="inlineStr">
        <is>
          <t>Chấp nhận nhiều câu đúng theo từ vựng đã học; dùng rubric.</t>
        </is>
      </c>
      <c r="S34" s="3" t="inlineStr">
        <is>
          <t>dogs là con chó; cakes là bánh, doors là cửa. Từ chỉ con vật là dogs.</t>
        </is>
      </c>
      <c r="T34" s="22" t="n">
        <v>75</v>
      </c>
      <c r="U34" s="22">
        <f>INDEX(Khung_cap_do!$H$2:$H$6,F34)</f>
        <v/>
      </c>
      <c r="V34" s="22" t="n">
        <v>1</v>
      </c>
      <c r="W34" s="22" t="n">
        <v>9</v>
      </c>
      <c r="X34" s="3" t="inlineStr">
        <is>
          <t>A1.ANIMAL.01</t>
        </is>
      </c>
      <c r="Y34" s="3" t="inlineStr">
        <is>
          <t>TA.MAUCAU</t>
        </is>
      </c>
      <c r="Z34" s="3" t="inlineStr">
        <is>
          <t>Bộ mẫu</t>
        </is>
      </c>
      <c r="AA34" s="3" t="inlineStr">
        <is>
          <t>[Chọn đáp án] Hoàn thành câu "I like ___." bằng một từ chỉ con vật.
A. dogs | B. cakes | C. doors
Đáp án: A
Ghi chú: Bản gốc là nói/ghi âm (giáo viên chấm rubric); bản app là chọn từ chỉ con vật.</t>
        </is>
      </c>
      <c r="AB34" s="3" t="inlineStr">
        <is>
          <t>Mẫu I like và từ chỉ con vật đã được dạy.</t>
        </is>
      </c>
      <c r="AC34" s="3" t="inlineStr">
        <is>
          <t>Mở rộng nội bộ; cần rubric và chính sách dữ liệu âm thanh trẻ em.</t>
        </is>
      </c>
      <c r="AD34" s="3" t="inlineStr">
        <is>
          <t>Chương trình GDPT 2018 / kế hoạch dạy học của trường; đối chiếu văn bản hiện hành</t>
        </is>
      </c>
      <c r="AE34" s="3" t="inlineStr">
        <is>
          <t>Bản mẫu — cần rà soát</t>
        </is>
      </c>
      <c r="AF34" s="3" t="inlineStr">
        <is>
          <t>Chờ giáo viên duyệt</t>
        </is>
      </c>
      <c r="AG34" s="3" t="n"/>
    </row>
    <row r="35">
      <c r="A35" s="3" t="inlineStr">
        <is>
          <t>EC1-045</t>
        </is>
      </c>
      <c r="B35" s="3" t="inlineStr">
        <is>
          <t>Tiếng Anh</t>
        </is>
      </c>
      <c r="C35" s="22" t="n">
        <v>1</v>
      </c>
      <c r="D35" s="3" t="inlineStr">
        <is>
          <t>Theo chương trình trường lựa chọn</t>
        </is>
      </c>
      <c r="E35" s="3" t="inlineStr">
        <is>
          <t>Vocabulary in context</t>
        </is>
      </c>
      <c r="F35" s="23" t="n">
        <v>5</v>
      </c>
      <c r="G35" s="3" t="inlineStr">
        <is>
          <t>Mở rộng</t>
        </is>
      </c>
      <c r="H35" s="22" t="n"/>
      <c r="I35" s="3" t="n"/>
      <c r="J35" s="3" t="inlineStr">
        <is>
          <t>Nói / chọn tranh</t>
        </is>
      </c>
      <c r="K35" s="3" t="inlineStr">
        <is>
          <t>Chọn một đồ vật trong tranh và nói từ tiếng Anh tương ứng trong nhóm đã học.</t>
        </is>
      </c>
      <c r="L35" s="3" t="n"/>
      <c r="M35" s="3" t="n"/>
      <c r="N35" s="3" t="n"/>
      <c r="O35" s="3" t="n"/>
      <c r="P35" s="3" t="n"/>
      <c r="Q35" s="3" t="inlineStr">
        <is>
          <t>Ví dụ: book / pen / bag (nếu đã học).</t>
        </is>
      </c>
      <c r="R35" s="3" t="inlineStr">
        <is>
          <t>Nhiều đáp án đúng; đối chiếu vật thể và bộ từ cho phép.</t>
        </is>
      </c>
      <c r="S35" s="3" t="inlineStr">
        <is>
          <t>📕 là book (quyển sách), 🖊️ là pen (bút mực), 🎒 là bag (cái cặp, túi).</t>
        </is>
      </c>
      <c r="T35" s="22" t="n">
        <v>90</v>
      </c>
      <c r="U35" s="22">
        <f>INDEX(Khung_cap_do!$H$2:$H$6,F35)</f>
        <v/>
      </c>
      <c r="V35" s="22" t="n">
        <v>1</v>
      </c>
      <c r="W35" s="22" t="n">
        <v>10</v>
      </c>
      <c r="X35" s="3" t="inlineStr">
        <is>
          <t>A1.SCHOOL.01</t>
        </is>
      </c>
      <c r="Y35" s="3" t="inlineStr">
        <is>
          <t>TA.NOINGHIA</t>
        </is>
      </c>
      <c r="Z35" s="3" t="inlineStr">
        <is>
          <t>Bộ mẫu</t>
        </is>
      </c>
      <c r="AA35" s="3" t="inlineStr">
        <is>
          <t>[Ghép cặp] Nối đồ vật với từ tiếng Anh.
Đáp án: 📕 – book; 🖊️ – pen; 🎒 – bag
Ghi chú: Bản gốc là nói tên đồ vật trong tranh; bản app là nối tranh với từ.</t>
        </is>
      </c>
      <c r="AB35" s="3" t="inlineStr">
        <is>
          <t>Đã học từ chỉ đồ vật xuất hiện.</t>
        </is>
      </c>
      <c r="AC35" s="3" t="inlineStr">
        <is>
          <t>Mở rộng nội bộ; cần danh sách đáp án hợp lệ.</t>
        </is>
      </c>
      <c r="AD35" s="3" t="inlineStr">
        <is>
          <t>Chương trình GDPT 2018 / kế hoạch dạy học của trường; đối chiếu văn bản hiện hành</t>
        </is>
      </c>
      <c r="AE35" s="3" t="inlineStr">
        <is>
          <t>Bản mẫu — cần rà soát</t>
        </is>
      </c>
      <c r="AF35" s="3" t="inlineStr">
        <is>
          <t>Chờ giáo viên duyệt</t>
        </is>
      </c>
      <c r="AG35" s="3" t="n"/>
    </row>
    <row r="36">
      <c r="A36" s="3" t="inlineStr">
        <is>
          <t>EC1-115</t>
        </is>
      </c>
      <c r="B36" s="3" t="inlineStr">
        <is>
          <t>Tiếng Anh</t>
        </is>
      </c>
      <c r="C36" s="22" t="n">
        <v>1</v>
      </c>
      <c r="D36" s="3" t="inlineStr">
        <is>
          <t>Sau Unit 4</t>
        </is>
      </c>
      <c r="E36" s="3" t="inlineStr">
        <is>
          <t>Odd one out</t>
        </is>
      </c>
      <c r="F36" s="23" t="n">
        <v>5</v>
      </c>
      <c r="G36" s="3" t="inlineStr">
        <is>
          <t>Mở rộng</t>
        </is>
      </c>
      <c r="H36" s="22" t="n"/>
      <c r="I36" s="3" t="n"/>
      <c r="J36" s="3" t="inlineStr">
        <is>
          <t>Chọn đáp án</t>
        </is>
      </c>
      <c r="K36" s="3" t="inlineStr">
        <is>
          <t>Chọn từ KHÁC nhóm.</t>
        </is>
      </c>
      <c r="L36" s="3" t="inlineStr">
        <is>
          <t>cat</t>
        </is>
      </c>
      <c r="M36" s="3" t="inlineStr">
        <is>
          <t>dog</t>
        </is>
      </c>
      <c r="N36" s="3" t="inlineStr">
        <is>
          <t>duck</t>
        </is>
      </c>
      <c r="O36" s="3" t="inlineStr">
        <is>
          <t>desk</t>
        </is>
      </c>
      <c r="P36" s="3" t="n"/>
      <c r="Q36" s="3" t="inlineStr">
        <is>
          <t>D</t>
        </is>
      </c>
      <c r="R36" s="3" t="inlineStr">
        <is>
          <t>desk là đồ vật; các từ còn lại là con vật.</t>
        </is>
      </c>
      <c r="S36" s="3" t="inlineStr">
        <is>
          <t>cat – mèo, dog – chó, duck – vịt đều là con vật. desk – cái bàn là đồ vật.</t>
        </is>
      </c>
      <c r="T36" s="22" t="n">
        <v>75</v>
      </c>
      <c r="U36" s="22">
        <f>INDEX(Khung_cap_do!$H$2:$H$6,F36)</f>
        <v/>
      </c>
      <c r="V36" s="22" t="n">
        <v>2</v>
      </c>
      <c r="W36" s="22" t="n">
        <v>9</v>
      </c>
      <c r="X36" s="3" t="inlineStr">
        <is>
          <t>A1.ANIMAL.01</t>
        </is>
      </c>
      <c r="Y36" s="3" t="inlineStr">
        <is>
          <t>TA.NHOMTU</t>
        </is>
      </c>
      <c r="Z36" s="3" t="inlineStr">
        <is>
          <t>Soạn thêm</t>
        </is>
      </c>
      <c r="AA36" s="3" t="inlineStr"/>
      <c r="AB36" s="3" t="inlineStr">
        <is>
          <t>Đã học cat (Unit 2), dog, duck, desk (Unit 4).</t>
        </is>
      </c>
      <c r="AC36" s="3" t="inlineStr">
        <is>
          <t>Làm quen tiếng Anh lớp 1; từ vựng Global Success 1 (Unit 1–8).</t>
        </is>
      </c>
      <c r="AD36" s="3" t="inlineStr">
        <is>
          <t>EduChain Kids soạn thêm (2026-10); bám chương trình GDPT 2018 và trình tự SGK đã chọn</t>
        </is>
      </c>
      <c r="AE36" s="3" t="inlineStr">
        <is>
          <t>Bản soạn mới — cần rà soát</t>
        </is>
      </c>
      <c r="AF36" s="3" t="inlineStr">
        <is>
          <t>Chờ giáo viên duyệt</t>
        </is>
      </c>
      <c r="AG36" s="3" t="n"/>
    </row>
    <row r="37">
      <c r="A37" s="3" t="inlineStr">
        <is>
          <t>EC1-116</t>
        </is>
      </c>
      <c r="B37" s="3" t="inlineStr">
        <is>
          <t>Tiếng Anh</t>
        </is>
      </c>
      <c r="C37" s="22" t="n">
        <v>1</v>
      </c>
      <c r="D37" s="3" t="inlineStr">
        <is>
          <t>Sau Unit 5</t>
        </is>
      </c>
      <c r="E37" s="3" t="inlineStr">
        <is>
          <t>Spelling</t>
        </is>
      </c>
      <c r="F37" s="23" t="n">
        <v>5</v>
      </c>
      <c r="G37" s="3" t="inlineStr">
        <is>
          <t>Mở rộng</t>
        </is>
      </c>
      <c r="H37" s="22" t="n"/>
      <c r="I37" s="3" t="n"/>
      <c r="J37" s="3" t="inlineStr">
        <is>
          <t>Sắp xếp</t>
        </is>
      </c>
      <c r="K37" s="3" t="inlineStr">
        <is>
          <t>Xếp các chữ cái thành từ "con cá": i / f / h / s
(Các mục: f / h / i / s)</t>
        </is>
      </c>
      <c r="L37" s="3" t="n"/>
      <c r="M37" s="3" t="n"/>
      <c r="N37" s="3" t="n"/>
      <c r="O37" s="3" t="n"/>
      <c r="P37" s="3" t="n"/>
      <c r="Q37" s="3" t="inlineStr">
        <is>
          <t>f → i → s → h</t>
        </is>
      </c>
      <c r="R37" s="3" t="inlineStr">
        <is>
          <t>fish: f – i – s – h.</t>
        </is>
      </c>
      <c r="S37" s="3" t="inlineStr">
        <is>
          <t>Con cá là fish, đánh vần f – i – s – h.</t>
        </is>
      </c>
      <c r="T37" s="22" t="n">
        <v>90</v>
      </c>
      <c r="U37" s="22">
        <f>INDEX(Khung_cap_do!$H$2:$H$6,F37)</f>
        <v/>
      </c>
      <c r="V37" s="22" t="n">
        <v>2</v>
      </c>
      <c r="W37" s="22" t="n">
        <v>10</v>
      </c>
      <c r="X37" s="3" t="inlineStr">
        <is>
          <t>A1.ABC.02</t>
        </is>
      </c>
      <c r="Y37" s="3" t="inlineStr">
        <is>
          <t>TA.CHUCAI</t>
        </is>
      </c>
      <c r="Z37" s="3" t="inlineStr">
        <is>
          <t>Soạn thêm</t>
        </is>
      </c>
      <c r="AA37" s="3" t="inlineStr"/>
      <c r="AB37" s="3" t="inlineStr">
        <is>
          <t>Đã học fish (Unit 5).</t>
        </is>
      </c>
      <c r="AC37" s="3" t="inlineStr">
        <is>
          <t>Làm quen tiếng Anh lớp 1; từ vựng Global Success 1 (Unit 1–8).</t>
        </is>
      </c>
      <c r="AD37" s="3" t="inlineStr">
        <is>
          <t>EduChain Kids soạn thêm (2026-10); bám chương trình GDPT 2018 và trình tự SGK đã chọn</t>
        </is>
      </c>
      <c r="AE37" s="3" t="inlineStr">
        <is>
          <t>Bản soạn mới — cần rà soát</t>
        </is>
      </c>
      <c r="AF37" s="3" t="inlineStr">
        <is>
          <t>Chờ giáo viên duyệt</t>
        </is>
      </c>
      <c r="AG37" s="3" t="n"/>
    </row>
    <row r="38">
      <c r="A38" s="3" t="inlineStr">
        <is>
          <t>EC1-117</t>
        </is>
      </c>
      <c r="B38" s="3" t="inlineStr">
        <is>
          <t>Tiếng Anh</t>
        </is>
      </c>
      <c r="C38" s="22" t="n">
        <v>1</v>
      </c>
      <c r="D38" s="3" t="inlineStr">
        <is>
          <t>Sau Unit 8</t>
        </is>
      </c>
      <c r="E38" s="3" t="inlineStr">
        <is>
          <t>Letters</t>
        </is>
      </c>
      <c r="F38" s="23" t="n">
        <v>5</v>
      </c>
      <c r="G38" s="3" t="inlineStr">
        <is>
          <t>Mở rộng</t>
        </is>
      </c>
      <c r="H38" s="22" t="n"/>
      <c r="I38" s="3" t="n"/>
      <c r="J38" s="3" t="inlineStr">
        <is>
          <t>Ghép cặp</t>
        </is>
      </c>
      <c r="K38" s="3" t="inlineStr">
        <is>
          <t>Nối chữ cái với từ bắt đầu bằng chữ đó.
(Vế trái: b / c / h · Vế phải: book / cup / horse)</t>
        </is>
      </c>
      <c r="L38" s="3" t="n"/>
      <c r="M38" s="3" t="n"/>
      <c r="N38" s="3" t="n"/>
      <c r="O38" s="3" t="n"/>
      <c r="P38" s="3" t="n"/>
      <c r="Q38" s="3" t="inlineStr">
        <is>
          <t>b – book; c – cup; h – horse</t>
        </is>
      </c>
      <c r="R38" s="3" t="inlineStr">
        <is>
          <t>b – book, c – cup, h – horse.</t>
        </is>
      </c>
      <c r="S38" s="3" t="inlineStr">
        <is>
          <t>book bắt đầu bằng b, cup bắt đầu bằng c, horse bắt đầu bằng h.</t>
        </is>
      </c>
      <c r="T38" s="22" t="n">
        <v>90</v>
      </c>
      <c r="U38" s="22">
        <f>INDEX(Khung_cap_do!$H$2:$H$6,F38)</f>
        <v/>
      </c>
      <c r="V38" s="22" t="n">
        <v>3</v>
      </c>
      <c r="W38" s="22" t="n">
        <v>9</v>
      </c>
      <c r="X38" s="3" t="inlineStr">
        <is>
          <t>A1.ABC.02</t>
        </is>
      </c>
      <c r="Y38" s="3" t="inlineStr">
        <is>
          <t>TA.NOINGHIA</t>
        </is>
      </c>
      <c r="Z38" s="3" t="inlineStr">
        <is>
          <t>Soạn thêm</t>
        </is>
      </c>
      <c r="AA38" s="3" t="inlineStr"/>
      <c r="AB38" s="3" t="inlineStr">
        <is>
          <t>Đã học chữ b, c, h và các từ.</t>
        </is>
      </c>
      <c r="AC38" s="3" t="inlineStr">
        <is>
          <t>Làm quen tiếng Anh lớp 1; từ vựng Global Success 1 (Unit 1–8).</t>
        </is>
      </c>
      <c r="AD38" s="3" t="inlineStr">
        <is>
          <t>EduChain Kids soạn thêm (2026-10); bám chương trình GDPT 2018 và trình tự SGK đã chọn</t>
        </is>
      </c>
      <c r="AE38" s="3" t="inlineStr">
        <is>
          <t>Bản soạn mới — cần rà soát</t>
        </is>
      </c>
      <c r="AF38" s="3" t="inlineStr">
        <is>
          <t>Chờ giáo viên duyệt</t>
        </is>
      </c>
      <c r="AG38" s="3" t="n"/>
    </row>
    <row r="39">
      <c r="A39" s="3" t="inlineStr">
        <is>
          <t>EC1-118</t>
        </is>
      </c>
      <c r="B39" s="3" t="inlineStr">
        <is>
          <t>Tiếng Anh</t>
        </is>
      </c>
      <c r="C39" s="22" t="n">
        <v>1</v>
      </c>
      <c r="D39" s="3" t="inlineStr">
        <is>
          <t>Sau Unit 1</t>
        </is>
      </c>
      <c r="E39" s="3" t="inlineStr">
        <is>
          <t>This is my …</t>
        </is>
      </c>
      <c r="F39" s="23" t="n">
        <v>5</v>
      </c>
      <c r="G39" s="3" t="inlineStr">
        <is>
          <t>Mở rộng</t>
        </is>
      </c>
      <c r="H39" s="22" t="n"/>
      <c r="I39" s="3" t="n"/>
      <c r="J39" s="3" t="inlineStr">
        <is>
          <t>Chọn đáp án</t>
        </is>
      </c>
      <c r="K39" s="3" t="inlineStr">
        <is>
          <t>Bill nói: "This is my bike." Bill đang giới thiệu gì?</t>
        </is>
      </c>
      <c r="L39" s="3" t="inlineStr">
        <is>
          <t>Xe đạp của Bill</t>
        </is>
      </c>
      <c r="M39" s="3" t="inlineStr">
        <is>
          <t>Quả bóng của Bill</t>
        </is>
      </c>
      <c r="N39" s="3" t="inlineStr">
        <is>
          <t>Con mèo của Bill</t>
        </is>
      </c>
      <c r="O39" s="3" t="n"/>
      <c r="P39" s="3" t="n"/>
      <c r="Q39" s="3" t="inlineStr">
        <is>
          <t>A</t>
        </is>
      </c>
      <c r="R39" s="3" t="inlineStr">
        <is>
          <t>bike – xe đạp; This is my … – Đây là … của mình.</t>
        </is>
      </c>
      <c r="S39" s="3" t="inlineStr">
        <is>
          <t>"This is my bike." nghĩa là "Đây là xe đạp của mình."</t>
        </is>
      </c>
      <c r="T39" s="22" t="n">
        <v>75</v>
      </c>
      <c r="U39" s="22">
        <f>INDEX(Khung_cap_do!$H$2:$H$6,F39)</f>
        <v/>
      </c>
      <c r="V39" s="22" t="n">
        <v>3</v>
      </c>
      <c r="W39" s="22" t="n">
        <v>10</v>
      </c>
      <c r="X39" s="3" t="inlineStr">
        <is>
          <t>A1.EXTRA.01</t>
        </is>
      </c>
      <c r="Y39" s="3" t="inlineStr">
        <is>
          <t>TA.MAUCAU</t>
        </is>
      </c>
      <c r="Z39" s="3" t="inlineStr">
        <is>
          <t>Soạn thêm</t>
        </is>
      </c>
      <c r="AA39" s="3" t="inlineStr"/>
      <c r="AB39" s="3" t="inlineStr">
        <is>
          <t>Đã học bike và mẫu câu This is my … .</t>
        </is>
      </c>
      <c r="AC39" s="3" t="inlineStr">
        <is>
          <t>Làm quen tiếng Anh lớp 1; từ vựng Global Success 1 (Unit 1–8).</t>
        </is>
      </c>
      <c r="AD39" s="3" t="inlineStr">
        <is>
          <t>EduChain Kids soạn thêm (2026-10); bám chương trình GDPT 2018 và trình tự SGK đã chọn</t>
        </is>
      </c>
      <c r="AE39" s="3" t="inlineStr">
        <is>
          <t>Bản soạn mới — cần rà soát</t>
        </is>
      </c>
      <c r="AF39" s="3" t="inlineStr">
        <is>
          <t>Chờ giáo viên duyệt</t>
        </is>
      </c>
      <c r="AG39" s="3" t="n"/>
    </row>
    <row r="40">
      <c r="A40" s="3" t="inlineStr">
        <is>
          <t>EC1-119</t>
        </is>
      </c>
      <c r="B40" s="3" t="inlineStr">
        <is>
          <t>Tiếng Anh</t>
        </is>
      </c>
      <c r="C40" s="22" t="n">
        <v>1</v>
      </c>
      <c r="D40" s="3" t="inlineStr">
        <is>
          <t>Sau Unit 8</t>
        </is>
      </c>
      <c r="E40" s="3" t="inlineStr">
        <is>
          <t>I can see …</t>
        </is>
      </c>
      <c r="F40" s="23" t="n">
        <v>5</v>
      </c>
      <c r="G40" s="3" t="inlineStr">
        <is>
          <t>Mở rộng</t>
        </is>
      </c>
      <c r="H40" s="22" t="n"/>
      <c r="I40" s="3" t="n"/>
      <c r="J40" s="3" t="inlineStr">
        <is>
          <t>Điền đáp án</t>
        </is>
      </c>
      <c r="K40" s="3" t="inlineStr">
        <is>
          <t>Hoàn thành câu: "I can see a ___." (🐴)</t>
        </is>
      </c>
      <c r="L40" s="3" t="n"/>
      <c r="M40" s="3" t="n"/>
      <c r="N40" s="3" t="n"/>
      <c r="O40" s="3" t="n"/>
      <c r="P40" s="3" t="n"/>
      <c r="Q40" s="3" t="inlineStr">
        <is>
          <t>horse</t>
        </is>
      </c>
      <c r="R40" s="3" t="inlineStr">
        <is>
          <t>🐴 là horse.</t>
        </is>
      </c>
      <c r="S40" s="3" t="inlineStr">
        <is>
          <t>Con ngựa là horse: "I can see a horse."</t>
        </is>
      </c>
      <c r="T40" s="22" t="n">
        <v>85</v>
      </c>
      <c r="U40" s="22">
        <f>INDEX(Khung_cap_do!$H$2:$H$6,F40)</f>
        <v/>
      </c>
      <c r="V40" s="22" t="n">
        <v>4</v>
      </c>
      <c r="W40" s="22" t="n">
        <v>9</v>
      </c>
      <c r="X40" s="3" t="inlineStr">
        <is>
          <t>A1.ANIMAL.01</t>
        </is>
      </c>
      <c r="Y40" s="3" t="inlineStr">
        <is>
          <t>TA.MAUCAU</t>
        </is>
      </c>
      <c r="Z40" s="3" t="inlineStr">
        <is>
          <t>Soạn thêm</t>
        </is>
      </c>
      <c r="AA40" s="3" t="inlineStr"/>
      <c r="AB40" s="3" t="inlineStr">
        <is>
          <t>Đã học horse (Unit 8).</t>
        </is>
      </c>
      <c r="AC40" s="3" t="inlineStr">
        <is>
          <t>Làm quen tiếng Anh lớp 1; từ vựng Global Success 1 (Unit 1–8).</t>
        </is>
      </c>
      <c r="AD40" s="3" t="inlineStr">
        <is>
          <t>EduChain Kids soạn thêm (2026-10); bám chương trình GDPT 2018 và trình tự SGK đã chọn</t>
        </is>
      </c>
      <c r="AE40" s="3" t="inlineStr">
        <is>
          <t>Bản soạn mới — cần rà soát</t>
        </is>
      </c>
      <c r="AF40" s="3" t="inlineStr">
        <is>
          <t>Chờ giáo viên duyệt</t>
        </is>
      </c>
      <c r="AG40" s="3" t="n"/>
    </row>
    <row r="41">
      <c r="A41" s="3" t="inlineStr">
        <is>
          <t>EC1-120</t>
        </is>
      </c>
      <c r="B41" s="3" t="inlineStr">
        <is>
          <t>Tiếng Anh</t>
        </is>
      </c>
      <c r="C41" s="22" t="n">
        <v>1</v>
      </c>
      <c r="D41" s="3" t="inlineStr">
        <is>
          <t>Sau Unit 5</t>
        </is>
      </c>
      <c r="E41" s="3" t="inlineStr">
        <is>
          <t>Food and drinks</t>
        </is>
      </c>
      <c r="F41" s="23" t="n">
        <v>5</v>
      </c>
      <c r="G41" s="3" t="inlineStr">
        <is>
          <t>Mở rộng</t>
        </is>
      </c>
      <c r="H41" s="22" t="n"/>
      <c r="I41" s="3" t="n"/>
      <c r="J41" s="3" t="inlineStr">
        <is>
          <t>Chọn nhiều đáp án</t>
        </is>
      </c>
      <c r="K41" s="3" t="inlineStr">
        <is>
          <t>Chọn TẤT CẢ từ chỉ đồ ăn, đồ uống.</t>
        </is>
      </c>
      <c r="L41" s="3" t="inlineStr">
        <is>
          <t>cake</t>
        </is>
      </c>
      <c r="M41" s="3" t="inlineStr">
        <is>
          <t>chips</t>
        </is>
      </c>
      <c r="N41" s="3" t="inlineStr">
        <is>
          <t>milk</t>
        </is>
      </c>
      <c r="O41" s="3" t="inlineStr">
        <is>
          <t>door</t>
        </is>
      </c>
      <c r="P41" s="3" t="n"/>
      <c r="Q41" s="3" t="inlineStr">
        <is>
          <t>A, B, C</t>
        </is>
      </c>
      <c r="R41" s="3" t="inlineStr">
        <is>
          <t>cake, chips, milk ăn/uống được; door là cái cửa.</t>
        </is>
      </c>
      <c r="S41" s="3" t="inlineStr">
        <is>
          <t>cake – bánh ngọt, chips – khoai tây chiên, milk – sữa. Door là cái cửa.</t>
        </is>
      </c>
      <c r="T41" s="22" t="n">
        <v>85</v>
      </c>
      <c r="U41" s="22">
        <f>INDEX(Khung_cap_do!$H$2:$H$6,F41)</f>
        <v/>
      </c>
      <c r="V41" s="22" t="n">
        <v>4</v>
      </c>
      <c r="W41" s="22" t="n">
        <v>10</v>
      </c>
      <c r="X41" s="3" t="inlineStr">
        <is>
          <t>A1.EXTRA.02</t>
        </is>
      </c>
      <c r="Y41" s="3" t="inlineStr">
        <is>
          <t>TA.NHOMTU</t>
        </is>
      </c>
      <c r="Z41" s="3" t="inlineStr">
        <is>
          <t>Soạn thêm</t>
        </is>
      </c>
      <c r="AA41" s="3" t="inlineStr"/>
      <c r="AB41" s="3" t="inlineStr">
        <is>
          <t>Đã học cake (Unit 2), chips, milk (Unit 5), door (Unit 4).</t>
        </is>
      </c>
      <c r="AC41" s="3" t="inlineStr">
        <is>
          <t>Làm quen tiếng Anh lớp 1; từ vựng Global Success 1 (Unit 1–8).</t>
        </is>
      </c>
      <c r="AD41" s="3" t="inlineStr">
        <is>
          <t>EduChain Kids soạn thêm (2026-10); bám chương trình GDPT 2018 và trình tự SGK đã chọn</t>
        </is>
      </c>
      <c r="AE41" s="3" t="inlineStr">
        <is>
          <t>Bản soạn mới — cần rà soát</t>
        </is>
      </c>
      <c r="AF41" s="3" t="inlineStr">
        <is>
          <t>Chờ giáo viên duyệt</t>
        </is>
      </c>
      <c r="AG41" s="3" t="n"/>
    </row>
  </sheetData>
  <conditionalFormatting sqref="A2:AG41">
    <cfRule type="expression" priority="1" dxfId="0">
      <formula>$F2=1</formula>
    </cfRule>
    <cfRule type="expression" priority="2" dxfId="1">
      <formula>$F2=2</formula>
    </cfRule>
    <cfRule type="expression" priority="3" dxfId="2">
      <formula>$F2=3</formula>
    </cfRule>
    <cfRule type="expression" priority="4" dxfId="3">
      <formula>$F2=4</formula>
    </cfRule>
    <cfRule type="expression" priority="5" dxfId="4">
      <formula>$F2=5</formula>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G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6" customWidth="1" min="3" max="3"/>
    <col width="24" customWidth="1" min="4" max="4"/>
    <col width="20" customWidth="1" min="5" max="5"/>
    <col width="8" customWidth="1" min="6" max="6"/>
    <col width="12" customWidth="1" min="7" max="7"/>
    <col width="10" customWidth="1" min="8" max="8"/>
    <col width="30" customWidth="1" min="9" max="9"/>
    <col width="14" customWidth="1" min="10" max="10"/>
    <col width="46" customWidth="1" min="11" max="11"/>
    <col width="16" customWidth="1" min="12" max="12"/>
    <col width="16" customWidth="1" min="13" max="13"/>
    <col width="16" customWidth="1" min="14" max="14"/>
    <col width="16" customWidth="1" min="15" max="15"/>
    <col width="12" customWidth="1" min="16" max="16"/>
    <col width="22" customWidth="1" min="17" max="17"/>
    <col width="36" customWidth="1" min="18" max="18"/>
    <col width="40" customWidth="1" min="19" max="19"/>
    <col width="10" customWidth="1" min="20" max="20"/>
    <col width="9" customWidth="1" min="21" max="21"/>
    <col width="7" customWidth="1" min="22" max="22"/>
    <col width="8" customWidth="1" min="23" max="23"/>
    <col width="12" customWidth="1" min="24" max="24"/>
    <col width="14" customWidth="1" min="25" max="25"/>
    <col width="11" customWidth="1" min="26" max="26"/>
    <col width="40" customWidth="1" min="27" max="27"/>
    <col width="32" customWidth="1" min="28" max="28"/>
    <col width="36" customWidth="1" min="29" max="29"/>
    <col width="30" customWidth="1" min="30" max="30"/>
    <col width="20" customWidth="1" min="31" max="31"/>
    <col width="18" customWidth="1" min="32" max="32"/>
    <col width="30" customWidth="1" min="33" max="33"/>
  </cols>
  <sheetData>
    <row r="1" ht="34" customHeight="1">
      <c r="A1" s="1" t="inlineStr">
        <is>
          <t>ID</t>
        </is>
      </c>
      <c r="B1" s="1" t="inlineStr">
        <is>
          <t>Môn học</t>
        </is>
      </c>
      <c r="C1" s="1" t="inlineStr">
        <is>
          <t>Lớp</t>
        </is>
      </c>
      <c r="D1" s="1" t="inlineStr">
        <is>
          <t>Giai đoạn gợi ý</t>
        </is>
      </c>
      <c r="E1" s="1" t="inlineStr">
        <is>
          <t>Chủ đề / kỹ năng</t>
        </is>
      </c>
      <c r="F1" s="1" t="inlineStr">
        <is>
          <t>Cấp độ</t>
        </is>
      </c>
      <c r="G1" s="1" t="inlineStr">
        <is>
          <t>Tên cấp độ</t>
        </is>
      </c>
      <c r="H1" s="1" t="inlineStr">
        <is>
          <t>Cấp độ cũ (bộ mẫu)</t>
        </is>
      </c>
      <c r="I1" s="1" t="inlineStr">
        <is>
          <t>Lý do điều chỉnh cấp độ</t>
        </is>
      </c>
      <c r="J1" s="1" t="inlineStr">
        <is>
          <t>Loại câu hỏi</t>
        </is>
      </c>
      <c r="K1" s="1" t="inlineStr">
        <is>
          <t>Câu hỏi / nhiệm vụ</t>
        </is>
      </c>
      <c r="L1" s="1" t="inlineStr">
        <is>
          <t>Lựa chọn A</t>
        </is>
      </c>
      <c r="M1" s="1" t="inlineStr">
        <is>
          <t>Lựa chọn B</t>
        </is>
      </c>
      <c r="N1" s="1" t="inlineStr">
        <is>
          <t>Lựa chọn C</t>
        </is>
      </c>
      <c r="O1" s="1" t="inlineStr">
        <is>
          <t>Lựa chọn D</t>
        </is>
      </c>
      <c r="P1" s="1" t="inlineStr">
        <is>
          <t>Lựa chọn E</t>
        </is>
      </c>
      <c r="Q1" s="1" t="inlineStr">
        <is>
          <t>Đáp án đúng</t>
        </is>
      </c>
      <c r="R1" s="1" t="inlineStr">
        <is>
          <t>Lời giải / phản hồi</t>
        </is>
      </c>
      <c r="S1" s="1" t="inlineStr">
        <is>
          <t>Lời giải chi tiết</t>
        </is>
      </c>
      <c r="T1" s="1" t="inlineStr">
        <is>
          <t>Thời gian (giây)</t>
        </is>
      </c>
      <c r="U1" s="1" t="inlineStr">
        <is>
          <t>Điểm khi đúng</t>
        </is>
      </c>
      <c r="V1" s="1" t="inlineStr">
        <is>
          <t>Đề ôn</t>
        </is>
      </c>
      <c r="W1" s="1" t="inlineStr">
        <is>
          <t>Thứ tự trong đề</t>
        </is>
      </c>
      <c r="X1" s="1" t="inlineStr">
        <is>
          <t>Mã YCCĐ</t>
        </is>
      </c>
      <c r="Y1" s="1" t="inlineStr">
        <is>
          <t>Mã dạng bài</t>
        </is>
      </c>
      <c r="Z1" s="1" t="inlineStr">
        <is>
          <t>Nguồn câu</t>
        </is>
      </c>
      <c r="AA1" s="1" t="inlineStr">
        <is>
          <t>Bản dùng trong app (nếu khác câu gốc)</t>
        </is>
      </c>
      <c r="AB1" s="1" t="inlineStr">
        <is>
          <t>Điều kiện tiên quyết</t>
        </is>
      </c>
      <c r="AC1" s="1" t="inlineStr">
        <is>
          <t>Căn cứ chương trình / lưu ý đối chiếu</t>
        </is>
      </c>
      <c r="AD1" s="1" t="inlineStr">
        <is>
          <t>Nguồn / phạm vi</t>
        </is>
      </c>
      <c r="AE1" s="1" t="inlineStr">
        <is>
          <t>Trạng thái nội dung</t>
        </is>
      </c>
      <c r="AF1" s="1" t="inlineStr">
        <is>
          <t>Trạng thái giáo viên</t>
        </is>
      </c>
      <c r="AG1" s="1" t="inlineStr">
        <is>
          <t>Ghi chú kiểm duyệt</t>
        </is>
      </c>
    </row>
    <row r="2">
      <c r="A2" s="3" t="inlineStr">
        <is>
          <t>EC1-001</t>
        </is>
      </c>
      <c r="B2" s="3" t="inlineStr">
        <is>
          <t>Toán</t>
        </is>
      </c>
      <c r="C2" s="22" t="n">
        <v>1</v>
      </c>
      <c r="D2" s="3" t="inlineStr">
        <is>
          <t>Sau khi học số tương ứng</t>
        </is>
      </c>
      <c r="E2" s="3" t="inlineStr">
        <is>
          <t>Nhận biết số</t>
        </is>
      </c>
      <c r="F2" s="23" t="n">
        <v>1</v>
      </c>
      <c r="G2" s="3" t="inlineStr">
        <is>
          <t>Làm quen</t>
        </is>
      </c>
      <c r="H2" s="22" t="n"/>
      <c r="I2" s="3" t="n"/>
      <c r="J2" s="3" t="inlineStr">
        <is>
          <t>Chọn đáp án</t>
        </is>
      </c>
      <c r="K2" s="3" t="inlineStr">
        <is>
          <t>Có 3 quả táo. Số quả táo là số nào?</t>
        </is>
      </c>
      <c r="L2" s="3" t="inlineStr">
        <is>
          <t>2</t>
        </is>
      </c>
      <c r="M2" s="3" t="inlineStr">
        <is>
          <t>3</t>
        </is>
      </c>
      <c r="N2" s="3" t="inlineStr">
        <is>
          <t>4</t>
        </is>
      </c>
      <c r="O2" s="3" t="n"/>
      <c r="P2" s="3" t="n"/>
      <c r="Q2" s="3" t="inlineStr">
        <is>
          <t>B</t>
        </is>
      </c>
      <c r="R2" s="3" t="inlineStr">
        <is>
          <t>Đếm lần lượt 1, 2, 3 quả; có 3 quả.</t>
        </is>
      </c>
      <c r="S2" s="3" t="n"/>
      <c r="T2" s="22" t="n">
        <v>30</v>
      </c>
      <c r="U2" s="22">
        <f>INDEX(Khung_cap_do!$H$2:$H$6,F2)</f>
        <v/>
      </c>
      <c r="V2" s="22" t="n">
        <v>1</v>
      </c>
      <c r="W2" s="22" t="n">
        <v>1</v>
      </c>
      <c r="X2" s="3" t="inlineStr">
        <is>
          <t>T1.SO.01</t>
        </is>
      </c>
      <c r="Y2" s="3" t="inlineStr">
        <is>
          <t>TOAN.DEM</t>
        </is>
      </c>
      <c r="Z2" s="3" t="inlineStr">
        <is>
          <t>Bộ mẫu</t>
        </is>
      </c>
      <c r="AA2" s="3" t="inlineStr"/>
      <c r="AB2" s="3" t="inlineStr">
        <is>
          <t>Đã học nhận biết số 1–3 và đếm đồ vật tương ứng.</t>
        </is>
      </c>
      <c r="AC2" s="3" t="inlineStr">
        <is>
          <t>Minh họa yêu cầu nhận biết số và đếm; giáo viên gắn với tiến trình SGK.</t>
        </is>
      </c>
      <c r="AD2" s="3" t="inlineStr">
        <is>
          <t>Chương trình GDPT 2018 / kế hoạch dạy học của trường; đối chiếu văn bản hiện hành</t>
        </is>
      </c>
      <c r="AE2" s="3" t="inlineStr">
        <is>
          <t>Bản mẫu — cần rà soát</t>
        </is>
      </c>
      <c r="AF2" s="3" t="inlineStr">
        <is>
          <t>Chờ giáo viên duyệt</t>
        </is>
      </c>
      <c r="AG2" s="3" t="n"/>
    </row>
    <row r="3">
      <c r="A3" s="3" t="inlineStr">
        <is>
          <t>EC1-002</t>
        </is>
      </c>
      <c r="B3" s="3" t="inlineStr">
        <is>
          <t>Toán</t>
        </is>
      </c>
      <c r="C3" s="22" t="n">
        <v>1</v>
      </c>
      <c r="D3" s="3" t="inlineStr">
        <is>
          <t>Sau khi học so sánh số</t>
        </is>
      </c>
      <c r="E3" s="3" t="inlineStr">
        <is>
          <t>So sánh số</t>
        </is>
      </c>
      <c r="F3" s="23" t="n">
        <v>1</v>
      </c>
      <c r="G3" s="3" t="inlineStr">
        <is>
          <t>Làm quen</t>
        </is>
      </c>
      <c r="H3" s="22" t="n"/>
      <c r="I3" s="3" t="n"/>
      <c r="J3" s="3" t="inlineStr">
        <is>
          <t>Chọn đáp án</t>
        </is>
      </c>
      <c r="K3" s="3" t="inlineStr">
        <is>
          <t>Số nào bé hơn 4?</t>
        </is>
      </c>
      <c r="L3" s="3" t="inlineStr">
        <is>
          <t>5</t>
        </is>
      </c>
      <c r="M3" s="3" t="inlineStr">
        <is>
          <t>3</t>
        </is>
      </c>
      <c r="N3" s="3" t="inlineStr">
        <is>
          <t>6</t>
        </is>
      </c>
      <c r="O3" s="3" t="n"/>
      <c r="P3" s="3" t="n"/>
      <c r="Q3" s="3" t="inlineStr">
        <is>
          <t>B</t>
        </is>
      </c>
      <c r="R3" s="3" t="inlineStr">
        <is>
          <t>3 bé hơn 4.</t>
        </is>
      </c>
      <c r="S3" s="3" t="n"/>
      <c r="T3" s="22" t="n">
        <v>30</v>
      </c>
      <c r="U3" s="22">
        <f>INDEX(Khung_cap_do!$H$2:$H$6,F3)</f>
        <v/>
      </c>
      <c r="V3" s="22" t="n">
        <v>1</v>
      </c>
      <c r="W3" s="22" t="n">
        <v>2</v>
      </c>
      <c r="X3" s="3" t="inlineStr">
        <is>
          <t>T1.SO.02</t>
        </is>
      </c>
      <c r="Y3" s="3" t="inlineStr">
        <is>
          <t>TOAN.SOSANH</t>
        </is>
      </c>
      <c r="Z3" s="3" t="inlineStr">
        <is>
          <t>Bộ mẫu</t>
        </is>
      </c>
      <c r="AA3" s="3" t="inlineStr"/>
      <c r="AB3" s="3" t="inlineStr">
        <is>
          <t>Các số trong lựa chọn và ý niệm so sánh đã được học.</t>
        </is>
      </c>
      <c r="AC3" s="3" t="inlineStr">
        <is>
          <t>Bài tập nhận biết quan hệ số trong phạm vi đã học.</t>
        </is>
      </c>
      <c r="AD3" s="3" t="inlineStr">
        <is>
          <t>Chương trình GDPT 2018 / kế hoạch dạy học của trường; đối chiếu văn bản hiện hành</t>
        </is>
      </c>
      <c r="AE3" s="3" t="inlineStr">
        <is>
          <t>Bản mẫu — cần rà soát</t>
        </is>
      </c>
      <c r="AF3" s="3" t="inlineStr">
        <is>
          <t>Chờ giáo viên duyệt</t>
        </is>
      </c>
      <c r="AG3" s="3" t="n"/>
    </row>
    <row r="4">
      <c r="A4" s="3" t="inlineStr">
        <is>
          <t>EC1-003</t>
        </is>
      </c>
      <c r="B4" s="3" t="inlineStr">
        <is>
          <t>Toán</t>
        </is>
      </c>
      <c r="C4" s="22" t="n">
        <v>1</v>
      </c>
      <c r="D4" s="3" t="inlineStr">
        <is>
          <t>Sau khi học hình dạng</t>
        </is>
      </c>
      <c r="E4" s="3" t="inlineStr">
        <is>
          <t>Hình dạng</t>
        </is>
      </c>
      <c r="F4" s="23" t="n">
        <v>1</v>
      </c>
      <c r="G4" s="3" t="inlineStr">
        <is>
          <t>Làm quen</t>
        </is>
      </c>
      <c r="H4" s="22" t="n"/>
      <c r="I4" s="3" t="n"/>
      <c r="J4" s="3" t="inlineStr">
        <is>
          <t>Chọn đáp án</t>
        </is>
      </c>
      <c r="K4" s="3" t="inlineStr">
        <is>
          <t>Vật nào thường có dạng hình tròn?</t>
        </is>
      </c>
      <c r="L4" s="3" t="inlineStr">
        <is>
          <t>Quả bóng</t>
        </is>
      </c>
      <c r="M4" s="3" t="inlineStr">
        <is>
          <t>Quyển sách</t>
        </is>
      </c>
      <c r="N4" s="3" t="inlineStr">
        <is>
          <t>Hộp vuông</t>
        </is>
      </c>
      <c r="O4" s="3" t="n"/>
      <c r="P4" s="3" t="n"/>
      <c r="Q4" s="3" t="inlineStr">
        <is>
          <t>A</t>
        </is>
      </c>
      <c r="R4" s="3" t="inlineStr">
        <is>
          <t>Quả bóng được minh họa bằng dạng tròn.</t>
        </is>
      </c>
      <c r="S4" s="3" t="n"/>
      <c r="T4" s="22" t="n">
        <v>30</v>
      </c>
      <c r="U4" s="22">
        <f>INDEX(Khung_cap_do!$H$2:$H$6,F4)</f>
        <v/>
      </c>
      <c r="V4" s="22" t="n">
        <v>2</v>
      </c>
      <c r="W4" s="22" t="n">
        <v>1</v>
      </c>
      <c r="X4" s="3" t="inlineStr">
        <is>
          <t>T1.HH.02</t>
        </is>
      </c>
      <c r="Y4" s="3" t="inlineStr">
        <is>
          <t>TOAN.HINH</t>
        </is>
      </c>
      <c r="Z4" s="3" t="inlineStr">
        <is>
          <t>Bộ mẫu</t>
        </is>
      </c>
      <c r="AA4" s="3" t="inlineStr"/>
      <c r="AB4" s="3" t="inlineStr">
        <is>
          <t>Đã làm quen với hình dạng được dùng.</t>
        </is>
      </c>
      <c r="AC4" s="3" t="inlineStr">
        <is>
          <t>Nhận dạng trực quan; hình minh họa phải rõ.</t>
        </is>
      </c>
      <c r="AD4" s="3" t="inlineStr">
        <is>
          <t>Chương trình GDPT 2018 / kế hoạch dạy học của trường; đối chiếu văn bản hiện hành</t>
        </is>
      </c>
      <c r="AE4" s="3" t="inlineStr">
        <is>
          <t>Bản mẫu — cần rà soát</t>
        </is>
      </c>
      <c r="AF4" s="3" t="inlineStr">
        <is>
          <t>Chờ giáo viên duyệt</t>
        </is>
      </c>
      <c r="AG4" s="3" t="n"/>
    </row>
    <row r="5">
      <c r="A5" s="3" t="inlineStr">
        <is>
          <t>EC1-046</t>
        </is>
      </c>
      <c r="B5" s="3" t="inlineStr">
        <is>
          <t>Toán</t>
        </is>
      </c>
      <c r="C5" s="22" t="n">
        <v>1</v>
      </c>
      <c r="D5" s="3" t="inlineStr">
        <is>
          <t>Sau khi học các số 0–5</t>
        </is>
      </c>
      <c r="E5" s="3" t="inlineStr">
        <is>
          <t>Đếm số lượng</t>
        </is>
      </c>
      <c r="F5" s="23" t="n">
        <v>1</v>
      </c>
      <c r="G5" s="3" t="inlineStr">
        <is>
          <t>Làm quen</t>
        </is>
      </c>
      <c r="H5" s="22" t="n"/>
      <c r="I5" s="3" t="n"/>
      <c r="J5" s="3" t="inlineStr">
        <is>
          <t>Chọn đáp án</t>
        </is>
      </c>
      <c r="K5" s="3" t="inlineStr">
        <is>
          <t>Đếm số ngôi sao: ⭐⭐⭐⭐⭐</t>
        </is>
      </c>
      <c r="L5" s="3" t="inlineStr">
        <is>
          <t>4</t>
        </is>
      </c>
      <c r="M5" s="3" t="inlineStr">
        <is>
          <t>5</t>
        </is>
      </c>
      <c r="N5" s="3" t="inlineStr">
        <is>
          <t>6</t>
        </is>
      </c>
      <c r="O5" s="3" t="n"/>
      <c r="P5" s="3" t="n"/>
      <c r="Q5" s="3" t="inlineStr">
        <is>
          <t>B</t>
        </is>
      </c>
      <c r="R5" s="3" t="inlineStr">
        <is>
          <t>Đếm lần lượt 1, 2, 3, 4, 5: có 5 ngôi sao.</t>
        </is>
      </c>
      <c r="S5" s="3" t="n"/>
      <c r="T5" s="22" t="n">
        <v>30</v>
      </c>
      <c r="U5" s="22">
        <f>INDEX(Khung_cap_do!$H$2:$H$6,F5)</f>
        <v/>
      </c>
      <c r="V5" s="22" t="n">
        <v>2</v>
      </c>
      <c r="W5" s="22" t="n">
        <v>2</v>
      </c>
      <c r="X5" s="3" t="inlineStr">
        <is>
          <t>T1.SO.01</t>
        </is>
      </c>
      <c r="Y5" s="3" t="inlineStr">
        <is>
          <t>TOAN.DEM</t>
        </is>
      </c>
      <c r="Z5" s="3" t="inlineStr">
        <is>
          <t>Soạn thêm</t>
        </is>
      </c>
      <c r="AA5" s="3" t="inlineStr"/>
      <c r="AB5" s="3" t="inlineStr">
        <is>
          <t>Đã học đếm và nhận biết số đến 5.</t>
        </is>
      </c>
      <c r="AC5" s="3" t="inlineStr">
        <is>
          <t>Chương trình GDPT 2018 – Toán 1; đối chiếu SGK Kết nối tri thức.</t>
        </is>
      </c>
      <c r="AD5" s="3" t="inlineStr">
        <is>
          <t>EduChain Kids soạn thêm (2026-10); bám chương trình GDPT 2018 và trình tự SGK đã chọn</t>
        </is>
      </c>
      <c r="AE5" s="3" t="inlineStr">
        <is>
          <t>Bản soạn mới — cần rà soát</t>
        </is>
      </c>
      <c r="AF5" s="3" t="inlineStr">
        <is>
          <t>Chờ giáo viên duyệt</t>
        </is>
      </c>
      <c r="AG5" s="3" t="n"/>
    </row>
    <row r="6">
      <c r="A6" s="3" t="inlineStr">
        <is>
          <t>EC1-047</t>
        </is>
      </c>
      <c r="B6" s="3" t="inlineStr">
        <is>
          <t>Toán</t>
        </is>
      </c>
      <c r="C6" s="22" t="n">
        <v>1</v>
      </c>
      <c r="D6" s="3" t="inlineStr">
        <is>
          <t>Sau khi học so sánh số</t>
        </is>
      </c>
      <c r="E6" s="3" t="inlineStr">
        <is>
          <t>So sánh số</t>
        </is>
      </c>
      <c r="F6" s="23" t="n">
        <v>1</v>
      </c>
      <c r="G6" s="3" t="inlineStr">
        <is>
          <t>Làm quen</t>
        </is>
      </c>
      <c r="H6" s="22" t="n"/>
      <c r="I6" s="3" t="n"/>
      <c r="J6" s="3" t="inlineStr">
        <is>
          <t>Đúng / Sai</t>
        </is>
      </c>
      <c r="K6" s="3" t="inlineStr">
        <is>
          <t>Số 7 lớn hơn số 5.</t>
        </is>
      </c>
      <c r="L6" s="3" t="inlineStr">
        <is>
          <t>Đúng</t>
        </is>
      </c>
      <c r="M6" s="3" t="inlineStr">
        <is>
          <t>Sai</t>
        </is>
      </c>
      <c r="N6" s="3" t="n"/>
      <c r="O6" s="3" t="n"/>
      <c r="P6" s="3" t="n"/>
      <c r="Q6" s="3" t="inlineStr">
        <is>
          <t>A</t>
        </is>
      </c>
      <c r="R6" s="3" t="inlineStr">
        <is>
          <t>Đếm 5, 6, 7: số 7 đứng sau số 5 nên 7 lớn hơn 5.</t>
        </is>
      </c>
      <c r="S6" s="3" t="n"/>
      <c r="T6" s="22" t="n">
        <v>30</v>
      </c>
      <c r="U6" s="22">
        <f>INDEX(Khung_cap_do!$H$2:$H$6,F6)</f>
        <v/>
      </c>
      <c r="V6" s="22" t="n">
        <v>3</v>
      </c>
      <c r="W6" s="22" t="n">
        <v>1</v>
      </c>
      <c r="X6" s="3" t="inlineStr">
        <is>
          <t>T1.SO.02</t>
        </is>
      </c>
      <c r="Y6" s="3" t="inlineStr">
        <is>
          <t>TOAN.DUNGSAI</t>
        </is>
      </c>
      <c r="Z6" s="3" t="inlineStr">
        <is>
          <t>Soạn thêm</t>
        </is>
      </c>
      <c r="AA6" s="3" t="inlineStr"/>
      <c r="AB6" s="3" t="inlineStr">
        <is>
          <t>Đã học so sánh các số trong phạm vi 10.</t>
        </is>
      </c>
      <c r="AC6" s="3" t="inlineStr">
        <is>
          <t>Chương trình GDPT 2018 – Toán 1; đối chiếu SGK Kết nối tri thức.</t>
        </is>
      </c>
      <c r="AD6" s="3" t="inlineStr">
        <is>
          <t>EduChain Kids soạn thêm (2026-10); bám chương trình GDPT 2018 và trình tự SGK đã chọn</t>
        </is>
      </c>
      <c r="AE6" s="3" t="inlineStr">
        <is>
          <t>Bản soạn mới — cần rà soát</t>
        </is>
      </c>
      <c r="AF6" s="3" t="inlineStr">
        <is>
          <t>Chờ giáo viên duyệt</t>
        </is>
      </c>
      <c r="AG6" s="3" t="n"/>
    </row>
    <row r="7">
      <c r="A7" s="3" t="inlineStr">
        <is>
          <t>EC1-048</t>
        </is>
      </c>
      <c r="B7" s="3" t="inlineStr">
        <is>
          <t>Toán</t>
        </is>
      </c>
      <c r="C7" s="22" t="n">
        <v>1</v>
      </c>
      <c r="D7" s="3" t="inlineStr">
        <is>
          <t>Sau khi học hình phẳng</t>
        </is>
      </c>
      <c r="E7" s="3" t="inlineStr">
        <is>
          <t>Hình dạng</t>
        </is>
      </c>
      <c r="F7" s="23" t="n">
        <v>1</v>
      </c>
      <c r="G7" s="3" t="inlineStr">
        <is>
          <t>Làm quen</t>
        </is>
      </c>
      <c r="H7" s="22" t="n"/>
      <c r="I7" s="3" t="n"/>
      <c r="J7" s="3" t="inlineStr">
        <is>
          <t>Chọn đáp án</t>
        </is>
      </c>
      <c r="K7" s="3" t="inlineStr">
        <is>
          <t>Hình nào có 3 cạnh?</t>
        </is>
      </c>
      <c r="L7" s="3" t="inlineStr">
        <is>
          <t>Hình tam giác</t>
        </is>
      </c>
      <c r="M7" s="3" t="inlineStr">
        <is>
          <t>Hình vuông</t>
        </is>
      </c>
      <c r="N7" s="3" t="inlineStr">
        <is>
          <t>Hình tròn</t>
        </is>
      </c>
      <c r="O7" s="3" t="n"/>
      <c r="P7" s="3" t="n"/>
      <c r="Q7" s="3" t="inlineStr">
        <is>
          <t>A</t>
        </is>
      </c>
      <c r="R7" s="3" t="inlineStr">
        <is>
          <t>Hình tam giác có 3 cạnh.</t>
        </is>
      </c>
      <c r="S7" s="3" t="n"/>
      <c r="T7" s="22" t="n">
        <v>30</v>
      </c>
      <c r="U7" s="22">
        <f>INDEX(Khung_cap_do!$H$2:$H$6,F7)</f>
        <v/>
      </c>
      <c r="V7" s="22" t="n">
        <v>3</v>
      </c>
      <c r="W7" s="22" t="n">
        <v>2</v>
      </c>
      <c r="X7" s="3" t="inlineStr">
        <is>
          <t>T1.HH.02</t>
        </is>
      </c>
      <c r="Y7" s="3" t="inlineStr">
        <is>
          <t>TOAN.HINH</t>
        </is>
      </c>
      <c r="Z7" s="3" t="inlineStr">
        <is>
          <t>Soạn thêm</t>
        </is>
      </c>
      <c r="AA7" s="3" t="inlineStr"/>
      <c r="AB7" s="3" t="inlineStr">
        <is>
          <t>Đã học hình vuông, hình tròn, hình tam giác.</t>
        </is>
      </c>
      <c r="AC7" s="3" t="inlineStr">
        <is>
          <t>Chương trình GDPT 2018 – Toán 1; đối chiếu SGK Kết nối tri thức.</t>
        </is>
      </c>
      <c r="AD7" s="3" t="inlineStr">
        <is>
          <t>EduChain Kids soạn thêm (2026-10); bám chương trình GDPT 2018 và trình tự SGK đã chọn</t>
        </is>
      </c>
      <c r="AE7" s="3" t="inlineStr">
        <is>
          <t>Bản soạn mới — cần rà soát</t>
        </is>
      </c>
      <c r="AF7" s="3" t="inlineStr">
        <is>
          <t>Chờ giáo viên duyệt</t>
        </is>
      </c>
      <c r="AG7" s="3" t="n"/>
    </row>
    <row r="8">
      <c r="A8" s="3" t="inlineStr">
        <is>
          <t>EC1-049</t>
        </is>
      </c>
      <c r="B8" s="3" t="inlineStr">
        <is>
          <t>Toán</t>
        </is>
      </c>
      <c r="C8" s="22" t="n">
        <v>1</v>
      </c>
      <c r="D8" s="3" t="inlineStr">
        <is>
          <t>Sau khi học các số 0–10</t>
        </is>
      </c>
      <c r="E8" s="3" t="inlineStr">
        <is>
          <t>Thứ tự số</t>
        </is>
      </c>
      <c r="F8" s="23" t="n">
        <v>1</v>
      </c>
      <c r="G8" s="3" t="inlineStr">
        <is>
          <t>Làm quen</t>
        </is>
      </c>
      <c r="H8" s="22" t="n"/>
      <c r="I8" s="3" t="n"/>
      <c r="J8" s="3" t="inlineStr">
        <is>
          <t>Điền đáp án</t>
        </is>
      </c>
      <c r="K8" s="3" t="inlineStr">
        <is>
          <t>Đếm tiếp: 4, 5, 6, ... Số tiếp theo là số mấy?</t>
        </is>
      </c>
      <c r="L8" s="3" t="n"/>
      <c r="M8" s="3" t="n"/>
      <c r="N8" s="3" t="n"/>
      <c r="O8" s="3" t="n"/>
      <c r="P8" s="3" t="n"/>
      <c r="Q8" s="3" t="inlineStr">
        <is>
          <t>7 / bảy</t>
        </is>
      </c>
      <c r="R8" s="3" t="inlineStr">
        <is>
          <t>Đếm tiếp sau 6 là 7.</t>
        </is>
      </c>
      <c r="S8" s="3" t="n"/>
      <c r="T8" s="22" t="n">
        <v>40</v>
      </c>
      <c r="U8" s="22">
        <f>INDEX(Khung_cap_do!$H$2:$H$6,F8)</f>
        <v/>
      </c>
      <c r="V8" s="22" t="n">
        <v>4</v>
      </c>
      <c r="W8" s="22" t="n">
        <v>1</v>
      </c>
      <c r="X8" s="3" t="inlineStr">
        <is>
          <t>T1.SO.01</t>
        </is>
      </c>
      <c r="Y8" s="3" t="inlineStr">
        <is>
          <t>TOAN.SOTHIEU</t>
        </is>
      </c>
      <c r="Z8" s="3" t="inlineStr">
        <is>
          <t>Soạn thêm</t>
        </is>
      </c>
      <c r="AA8" s="3" t="inlineStr"/>
      <c r="AB8" s="3" t="inlineStr">
        <is>
          <t>Đã học đếm đến 10.</t>
        </is>
      </c>
      <c r="AC8" s="3" t="inlineStr">
        <is>
          <t>Chương trình GDPT 2018 – Toán 1; đối chiếu SGK Kết nối tri thức.</t>
        </is>
      </c>
      <c r="AD8" s="3" t="inlineStr">
        <is>
          <t>EduChain Kids soạn thêm (2026-10); bám chương trình GDPT 2018 và trình tự SGK đã chọn</t>
        </is>
      </c>
      <c r="AE8" s="3" t="inlineStr">
        <is>
          <t>Bản soạn mới — cần rà soát</t>
        </is>
      </c>
      <c r="AF8" s="3" t="inlineStr">
        <is>
          <t>Chờ giáo viên duyệt</t>
        </is>
      </c>
      <c r="AG8" s="3" t="n"/>
    </row>
    <row r="9">
      <c r="A9" s="3" t="inlineStr">
        <is>
          <t>EC1-050</t>
        </is>
      </c>
      <c r="B9" s="3" t="inlineStr">
        <is>
          <t>Toán</t>
        </is>
      </c>
      <c r="C9" s="22" t="n">
        <v>1</v>
      </c>
      <c r="D9" s="3" t="inlineStr">
        <is>
          <t>Sau khi học số 0</t>
        </is>
      </c>
      <c r="E9" s="3" t="inlineStr">
        <is>
          <t>Số 0</t>
        </is>
      </c>
      <c r="F9" s="23" t="n">
        <v>1</v>
      </c>
      <c r="G9" s="3" t="inlineStr">
        <is>
          <t>Làm quen</t>
        </is>
      </c>
      <c r="H9" s="22" t="n"/>
      <c r="I9" s="3" t="n"/>
      <c r="J9" s="3" t="inlineStr">
        <is>
          <t>Chọn đáp án</t>
        </is>
      </c>
      <c r="K9" s="3" t="inlineStr">
        <is>
          <t>Trong đĩa không có quả nào. Số quả trong đĩa là số mấy?</t>
        </is>
      </c>
      <c r="L9" s="3" t="inlineStr">
        <is>
          <t>0</t>
        </is>
      </c>
      <c r="M9" s="3" t="inlineStr">
        <is>
          <t>1</t>
        </is>
      </c>
      <c r="N9" s="3" t="inlineStr">
        <is>
          <t>2</t>
        </is>
      </c>
      <c r="O9" s="3" t="n"/>
      <c r="P9" s="3" t="n"/>
      <c r="Q9" s="3" t="inlineStr">
        <is>
          <t>A</t>
        </is>
      </c>
      <c r="R9" s="3" t="inlineStr">
        <is>
          <t>Không có quả nào thì viết số 0.</t>
        </is>
      </c>
      <c r="S9" s="3" t="n"/>
      <c r="T9" s="22" t="n">
        <v>30</v>
      </c>
      <c r="U9" s="22">
        <f>INDEX(Khung_cap_do!$H$2:$H$6,F9)</f>
        <v/>
      </c>
      <c r="V9" s="22" t="n">
        <v>4</v>
      </c>
      <c r="W9" s="22" t="n">
        <v>2</v>
      </c>
      <c r="X9" s="3" t="inlineStr">
        <is>
          <t>T1.SO.01</t>
        </is>
      </c>
      <c r="Y9" s="3" t="inlineStr">
        <is>
          <t>TOAN.DEM</t>
        </is>
      </c>
      <c r="Z9" s="3" t="inlineStr">
        <is>
          <t>Soạn thêm</t>
        </is>
      </c>
      <c r="AA9" s="3" t="inlineStr"/>
      <c r="AB9" s="3" t="inlineStr">
        <is>
          <t>Đã học số 0.</t>
        </is>
      </c>
      <c r="AC9" s="3" t="inlineStr">
        <is>
          <t>Chương trình GDPT 2018 – Toán 1; đối chiếu SGK Kết nối tri thức.</t>
        </is>
      </c>
      <c r="AD9" s="3" t="inlineStr">
        <is>
          <t>EduChain Kids soạn thêm (2026-10); bám chương trình GDPT 2018 và trình tự SGK đã chọn</t>
        </is>
      </c>
      <c r="AE9" s="3" t="inlineStr">
        <is>
          <t>Bản soạn mới — cần rà soát</t>
        </is>
      </c>
      <c r="AF9" s="3" t="inlineStr">
        <is>
          <t>Chờ giáo viên duyệt</t>
        </is>
      </c>
      <c r="AG9" s="3" t="n"/>
    </row>
    <row r="10">
      <c r="A10" s="3" t="inlineStr">
        <is>
          <t>EC1-004</t>
        </is>
      </c>
      <c r="B10" s="3" t="inlineStr">
        <is>
          <t>Toán</t>
        </is>
      </c>
      <c r="C10" s="22" t="n">
        <v>1</v>
      </c>
      <c r="D10" s="3" t="inlineStr">
        <is>
          <t>Sau khi học phép cộng phù hợp</t>
        </is>
      </c>
      <c r="E10" s="3" t="inlineStr">
        <is>
          <t>Phép cộng</t>
        </is>
      </c>
      <c r="F10" s="23" t="n">
        <v>2</v>
      </c>
      <c r="G10" s="3" t="inlineStr">
        <is>
          <t>Cơ bản</t>
        </is>
      </c>
      <c r="H10" s="22" t="n"/>
      <c r="I10" s="3" t="n"/>
      <c r="J10" s="3" t="inlineStr">
        <is>
          <t>Điền đáp án</t>
        </is>
      </c>
      <c r="K10" s="3" t="inlineStr">
        <is>
          <t>2 + 1 = ?</t>
        </is>
      </c>
      <c r="L10" s="3" t="n"/>
      <c r="M10" s="3" t="n"/>
      <c r="N10" s="3" t="n"/>
      <c r="O10" s="3" t="n"/>
      <c r="P10" s="3" t="n"/>
      <c r="Q10" s="3" t="inlineStr">
        <is>
          <t>3</t>
        </is>
      </c>
      <c r="R10" s="3" t="inlineStr">
        <is>
          <t>Có 2 đồ vật, thêm 1 thì có 3.</t>
        </is>
      </c>
      <c r="S10" s="3" t="n"/>
      <c r="T10" s="22" t="n">
        <v>50</v>
      </c>
      <c r="U10" s="22">
        <f>INDEX(Khung_cap_do!$H$2:$H$6,F10)</f>
        <v/>
      </c>
      <c r="V10" s="22" t="n">
        <v>1</v>
      </c>
      <c r="W10" s="22" t="n">
        <v>3</v>
      </c>
      <c r="X10" s="3" t="inlineStr">
        <is>
          <t>T1.PT.02</t>
        </is>
      </c>
      <c r="Y10" s="3" t="inlineStr">
        <is>
          <t>TOAN.TINH</t>
        </is>
      </c>
      <c r="Z10" s="3" t="inlineStr">
        <is>
          <t>Bộ mẫu</t>
        </is>
      </c>
      <c r="AA10" s="3" t="inlineStr"/>
      <c r="AB10" s="3" t="inlineStr">
        <is>
          <t>Đã học phép cộng với các số này.</t>
        </is>
      </c>
      <c r="AC10" s="3" t="inlineStr">
        <is>
          <t>Chỉ dùng khi phép tính đã được dạy.</t>
        </is>
      </c>
      <c r="AD10" s="3" t="inlineStr">
        <is>
          <t>Chương trình GDPT 2018 / kế hoạch dạy học của trường; đối chiếu văn bản hiện hành</t>
        </is>
      </c>
      <c r="AE10" s="3" t="inlineStr">
        <is>
          <t>Bản mẫu — cần rà soát</t>
        </is>
      </c>
      <c r="AF10" s="3" t="inlineStr">
        <is>
          <t>Chờ giáo viên duyệt</t>
        </is>
      </c>
      <c r="AG10" s="3" t="n"/>
    </row>
    <row r="11">
      <c r="A11" s="3" t="inlineStr">
        <is>
          <t>EC1-005</t>
        </is>
      </c>
      <c r="B11" s="3" t="inlineStr">
        <is>
          <t>Toán</t>
        </is>
      </c>
      <c r="C11" s="22" t="n">
        <v>1</v>
      </c>
      <c r="D11" s="3" t="inlineStr">
        <is>
          <t>Sau khi học so sánh</t>
        </is>
      </c>
      <c r="E11" s="3" t="inlineStr">
        <is>
          <t>So sánh số lượng</t>
        </is>
      </c>
      <c r="F11" s="23" t="n">
        <v>2</v>
      </c>
      <c r="G11" s="3" t="inlineStr">
        <is>
          <t>Cơ bản</t>
        </is>
      </c>
      <c r="H11" s="22" t="n"/>
      <c r="I11" s="3" t="n"/>
      <c r="J11" s="3" t="inlineStr">
        <is>
          <t>Chọn đáp án</t>
        </is>
      </c>
      <c r="K11" s="3" t="inlineStr">
        <is>
          <t>Nhóm 5 con cá và nhóm 3 con cá. Nhóm nào nhiều hơn?</t>
        </is>
      </c>
      <c r="L11" s="3" t="inlineStr">
        <is>
          <t>Nhóm 5 con</t>
        </is>
      </c>
      <c r="M11" s="3" t="inlineStr">
        <is>
          <t>Nhóm 3 con</t>
        </is>
      </c>
      <c r="N11" s="3" t="inlineStr">
        <is>
          <t>Bằng nhau</t>
        </is>
      </c>
      <c r="O11" s="3" t="n"/>
      <c r="P11" s="3" t="n"/>
      <c r="Q11" s="3" t="inlineStr">
        <is>
          <t>A</t>
        </is>
      </c>
      <c r="R11" s="3" t="inlineStr">
        <is>
          <t>5 nhiều hơn 3.</t>
        </is>
      </c>
      <c r="S11" s="3" t="n"/>
      <c r="T11" s="22" t="n">
        <v>40</v>
      </c>
      <c r="U11" s="22">
        <f>INDEX(Khung_cap_do!$H$2:$H$6,F11)</f>
        <v/>
      </c>
      <c r="V11" s="22" t="n">
        <v>1</v>
      </c>
      <c r="W11" s="22" t="n">
        <v>4</v>
      </c>
      <c r="X11" s="3" t="inlineStr">
        <is>
          <t>T1.SO.02</t>
        </is>
      </c>
      <c r="Y11" s="3" t="inlineStr">
        <is>
          <t>TOAN.SOSANH</t>
        </is>
      </c>
      <c r="Z11" s="3" t="inlineStr">
        <is>
          <t>Bộ mẫu</t>
        </is>
      </c>
      <c r="AA11" s="3" t="inlineStr"/>
      <c r="AB11" s="3" t="inlineStr">
        <is>
          <t>Đã học đếm và so sánh trong phạm vi tương ứng.</t>
        </is>
      </c>
      <c r="AC11" s="3" t="inlineStr">
        <is>
          <t>Tình huống quen thuộc, không cần kiến thức mới.</t>
        </is>
      </c>
      <c r="AD11" s="3" t="inlineStr">
        <is>
          <t>Chương trình GDPT 2018 / kế hoạch dạy học của trường; đối chiếu văn bản hiện hành</t>
        </is>
      </c>
      <c r="AE11" s="3" t="inlineStr">
        <is>
          <t>Bản mẫu — cần rà soát</t>
        </is>
      </c>
      <c r="AF11" s="3" t="inlineStr">
        <is>
          <t>Chờ giáo viên duyệt</t>
        </is>
      </c>
      <c r="AG11" s="3" t="n"/>
    </row>
    <row r="12">
      <c r="A12" s="3" t="inlineStr">
        <is>
          <t>EC1-006</t>
        </is>
      </c>
      <c r="B12" s="3" t="inlineStr">
        <is>
          <t>Toán</t>
        </is>
      </c>
      <c r="C12" s="22" t="n">
        <v>1</v>
      </c>
      <c r="D12" s="3" t="inlineStr">
        <is>
          <t>Sau khi học phép trừ phù hợp</t>
        </is>
      </c>
      <c r="E12" s="3" t="inlineStr">
        <is>
          <t>Phép trừ</t>
        </is>
      </c>
      <c r="F12" s="23" t="n">
        <v>2</v>
      </c>
      <c r="G12" s="3" t="inlineStr">
        <is>
          <t>Cơ bản</t>
        </is>
      </c>
      <c r="H12" s="22" t="n"/>
      <c r="I12" s="3" t="n"/>
      <c r="J12" s="3" t="inlineStr">
        <is>
          <t>Điền đáp án</t>
        </is>
      </c>
      <c r="K12" s="3" t="inlineStr">
        <is>
          <t>4 − 1 = ?</t>
        </is>
      </c>
      <c r="L12" s="3" t="n"/>
      <c r="M12" s="3" t="n"/>
      <c r="N12" s="3" t="n"/>
      <c r="O12" s="3" t="n"/>
      <c r="P12" s="3" t="n"/>
      <c r="Q12" s="3" t="inlineStr">
        <is>
          <t>3</t>
        </is>
      </c>
      <c r="R12" s="3" t="inlineStr">
        <is>
          <t>Bớt 1 từ 4 còn 3.</t>
        </is>
      </c>
      <c r="S12" s="3" t="n"/>
      <c r="T12" s="22" t="n">
        <v>50</v>
      </c>
      <c r="U12" s="22">
        <f>INDEX(Khung_cap_do!$H$2:$H$6,F12)</f>
        <v/>
      </c>
      <c r="V12" s="22" t="n">
        <v>2</v>
      </c>
      <c r="W12" s="22" t="n">
        <v>3</v>
      </c>
      <c r="X12" s="3" t="inlineStr">
        <is>
          <t>T1.PT.02</t>
        </is>
      </c>
      <c r="Y12" s="3" t="inlineStr">
        <is>
          <t>TOAN.TINH</t>
        </is>
      </c>
      <c r="Z12" s="3" t="inlineStr">
        <is>
          <t>Bộ mẫu</t>
        </is>
      </c>
      <c r="AA12" s="3" t="inlineStr"/>
      <c r="AB12" s="3" t="inlineStr">
        <is>
          <t>Đã học phép trừ với các số này.</t>
        </is>
      </c>
      <c r="AC12" s="3" t="inlineStr">
        <is>
          <t>Điều chỉnh phạm vi số theo tiến trình.</t>
        </is>
      </c>
      <c r="AD12" s="3" t="inlineStr">
        <is>
          <t>Chương trình GDPT 2018 / kế hoạch dạy học của trường; đối chiếu văn bản hiện hành</t>
        </is>
      </c>
      <c r="AE12" s="3" t="inlineStr">
        <is>
          <t>Bản mẫu — cần rà soát</t>
        </is>
      </c>
      <c r="AF12" s="3" t="inlineStr">
        <is>
          <t>Chờ giáo viên duyệt</t>
        </is>
      </c>
      <c r="AG12" s="3" t="n"/>
    </row>
    <row r="13">
      <c r="A13" s="3" t="inlineStr">
        <is>
          <t>EC1-051</t>
        </is>
      </c>
      <c r="B13" s="3" t="inlineStr">
        <is>
          <t>Toán</t>
        </is>
      </c>
      <c r="C13" s="22" t="n">
        <v>1</v>
      </c>
      <c r="D13" s="3" t="inlineStr">
        <is>
          <t>Sau khi học phép cộng trong phạm vi 10</t>
        </is>
      </c>
      <c r="E13" s="3" t="inlineStr">
        <is>
          <t>Phép cộng</t>
        </is>
      </c>
      <c r="F13" s="23" t="n">
        <v>2</v>
      </c>
      <c r="G13" s="3" t="inlineStr">
        <is>
          <t>Cơ bản</t>
        </is>
      </c>
      <c r="H13" s="22" t="n"/>
      <c r="I13" s="3" t="n"/>
      <c r="J13" s="3" t="inlineStr">
        <is>
          <t>Điền đáp án</t>
        </is>
      </c>
      <c r="K13" s="3" t="inlineStr">
        <is>
          <t>3 + 4 = ?</t>
        </is>
      </c>
      <c r="L13" s="3" t="n"/>
      <c r="M13" s="3" t="n"/>
      <c r="N13" s="3" t="n"/>
      <c r="O13" s="3" t="n"/>
      <c r="P13" s="3" t="n"/>
      <c r="Q13" s="3" t="inlineStr">
        <is>
          <t>7 / bảy</t>
        </is>
      </c>
      <c r="R13" s="3" t="inlineStr">
        <is>
          <t>3 thêm 4 là 7.</t>
        </is>
      </c>
      <c r="S13" s="3" t="n"/>
      <c r="T13" s="22" t="n">
        <v>50</v>
      </c>
      <c r="U13" s="22">
        <f>INDEX(Khung_cap_do!$H$2:$H$6,F13)</f>
        <v/>
      </c>
      <c r="V13" s="22" t="n">
        <v>2</v>
      </c>
      <c r="W13" s="22" t="n">
        <v>4</v>
      </c>
      <c r="X13" s="3" t="inlineStr">
        <is>
          <t>T1.PT.02</t>
        </is>
      </c>
      <c r="Y13" s="3" t="inlineStr">
        <is>
          <t>TOAN.TINH</t>
        </is>
      </c>
      <c r="Z13" s="3" t="inlineStr">
        <is>
          <t>Soạn thêm</t>
        </is>
      </c>
      <c r="AA13" s="3" t="inlineStr"/>
      <c r="AB13" s="3" t="inlineStr">
        <is>
          <t>Đã học cộng trong phạm vi 10.</t>
        </is>
      </c>
      <c r="AC13" s="3" t="inlineStr">
        <is>
          <t>Chương trình GDPT 2018 – Toán 1; đối chiếu SGK Kết nối tri thức.</t>
        </is>
      </c>
      <c r="AD13" s="3" t="inlineStr">
        <is>
          <t>EduChain Kids soạn thêm (2026-10); bám chương trình GDPT 2018 và trình tự SGK đã chọn</t>
        </is>
      </c>
      <c r="AE13" s="3" t="inlineStr">
        <is>
          <t>Bản soạn mới — cần rà soát</t>
        </is>
      </c>
      <c r="AF13" s="3" t="inlineStr">
        <is>
          <t>Chờ giáo viên duyệt</t>
        </is>
      </c>
      <c r="AG13" s="3" t="n"/>
    </row>
    <row r="14">
      <c r="A14" s="3" t="inlineStr">
        <is>
          <t>EC1-052</t>
        </is>
      </c>
      <c r="B14" s="3" t="inlineStr">
        <is>
          <t>Toán</t>
        </is>
      </c>
      <c r="C14" s="22" t="n">
        <v>1</v>
      </c>
      <c r="D14" s="3" t="inlineStr">
        <is>
          <t>Sau khi học phép trừ trong phạm vi 10</t>
        </is>
      </c>
      <c r="E14" s="3" t="inlineStr">
        <is>
          <t>Phép trừ</t>
        </is>
      </c>
      <c r="F14" s="23" t="n">
        <v>2</v>
      </c>
      <c r="G14" s="3" t="inlineStr">
        <is>
          <t>Cơ bản</t>
        </is>
      </c>
      <c r="H14" s="22" t="n"/>
      <c r="I14" s="3" t="n"/>
      <c r="J14" s="3" t="inlineStr">
        <is>
          <t>Điền đáp án</t>
        </is>
      </c>
      <c r="K14" s="3" t="inlineStr">
        <is>
          <t>9 − 5 = ?</t>
        </is>
      </c>
      <c r="L14" s="3" t="n"/>
      <c r="M14" s="3" t="n"/>
      <c r="N14" s="3" t="n"/>
      <c r="O14" s="3" t="n"/>
      <c r="P14" s="3" t="n"/>
      <c r="Q14" s="3" t="inlineStr">
        <is>
          <t>4 / bốn</t>
        </is>
      </c>
      <c r="R14" s="3" t="inlineStr">
        <is>
          <t>9 bớt 5 còn 4.</t>
        </is>
      </c>
      <c r="S14" s="3" t="n"/>
      <c r="T14" s="22" t="n">
        <v>50</v>
      </c>
      <c r="U14" s="22">
        <f>INDEX(Khung_cap_do!$H$2:$H$6,F14)</f>
        <v/>
      </c>
      <c r="V14" s="22" t="n">
        <v>3</v>
      </c>
      <c r="W14" s="22" t="n">
        <v>3</v>
      </c>
      <c r="X14" s="3" t="inlineStr">
        <is>
          <t>T1.PT.02</t>
        </is>
      </c>
      <c r="Y14" s="3" t="inlineStr">
        <is>
          <t>TOAN.TINH</t>
        </is>
      </c>
      <c r="Z14" s="3" t="inlineStr">
        <is>
          <t>Soạn thêm</t>
        </is>
      </c>
      <c r="AA14" s="3" t="inlineStr"/>
      <c r="AB14" s="3" t="inlineStr">
        <is>
          <t>Đã học trừ trong phạm vi 10.</t>
        </is>
      </c>
      <c r="AC14" s="3" t="inlineStr">
        <is>
          <t>Chương trình GDPT 2018 – Toán 1; đối chiếu SGK Kết nối tri thức.</t>
        </is>
      </c>
      <c r="AD14" s="3" t="inlineStr">
        <is>
          <t>EduChain Kids soạn thêm (2026-10); bám chương trình GDPT 2018 và trình tự SGK đã chọn</t>
        </is>
      </c>
      <c r="AE14" s="3" t="inlineStr">
        <is>
          <t>Bản soạn mới — cần rà soát</t>
        </is>
      </c>
      <c r="AF14" s="3" t="inlineStr">
        <is>
          <t>Chờ giáo viên duyệt</t>
        </is>
      </c>
      <c r="AG14" s="3" t="n"/>
    </row>
    <row r="15">
      <c r="A15" s="3" t="inlineStr">
        <is>
          <t>EC1-053</t>
        </is>
      </c>
      <c r="B15" s="3" t="inlineStr">
        <is>
          <t>Toán</t>
        </is>
      </c>
      <c r="C15" s="22" t="n">
        <v>1</v>
      </c>
      <c r="D15" s="3" t="inlineStr">
        <is>
          <t>Sau khi học dấu &gt;, &lt;, =</t>
        </is>
      </c>
      <c r="E15" s="3" t="inlineStr">
        <is>
          <t>So sánh số</t>
        </is>
      </c>
      <c r="F15" s="23" t="n">
        <v>2</v>
      </c>
      <c r="G15" s="3" t="inlineStr">
        <is>
          <t>Cơ bản</t>
        </is>
      </c>
      <c r="H15" s="22" t="n"/>
      <c r="I15" s="3" t="n"/>
      <c r="J15" s="3" t="inlineStr">
        <is>
          <t>Chọn đáp án</t>
        </is>
      </c>
      <c r="K15" s="3" t="inlineStr">
        <is>
          <t>Chọn dấu đúng: 6 ... 8</t>
        </is>
      </c>
      <c r="L15" s="3" t="inlineStr">
        <is>
          <t>&gt;</t>
        </is>
      </c>
      <c r="M15" s="3" t="inlineStr">
        <is>
          <t>&lt;</t>
        </is>
      </c>
      <c r="N15" s="3" t="inlineStr">
        <is>
          <t>=</t>
        </is>
      </c>
      <c r="O15" s="3" t="n"/>
      <c r="P15" s="3" t="n"/>
      <c r="Q15" s="3" t="inlineStr">
        <is>
          <t>B</t>
        </is>
      </c>
      <c r="R15" s="3" t="inlineStr">
        <is>
          <t>6 bé hơn 8 nên điền dấu &lt;.</t>
        </is>
      </c>
      <c r="S15" s="3" t="n"/>
      <c r="T15" s="22" t="n">
        <v>40</v>
      </c>
      <c r="U15" s="22">
        <f>INDEX(Khung_cap_do!$H$2:$H$6,F15)</f>
        <v/>
      </c>
      <c r="V15" s="22" t="n">
        <v>3</v>
      </c>
      <c r="W15" s="22" t="n">
        <v>4</v>
      </c>
      <c r="X15" s="3" t="inlineStr">
        <is>
          <t>T1.SO.02</t>
        </is>
      </c>
      <c r="Y15" s="3" t="inlineStr">
        <is>
          <t>TOAN.SOSANH</t>
        </is>
      </c>
      <c r="Z15" s="3" t="inlineStr">
        <is>
          <t>Soạn thêm</t>
        </is>
      </c>
      <c r="AA15" s="3" t="inlineStr"/>
      <c r="AB15" s="3" t="inlineStr">
        <is>
          <t>Đã học các dấu &gt;, &lt;, =.</t>
        </is>
      </c>
      <c r="AC15" s="3" t="inlineStr">
        <is>
          <t>Chương trình GDPT 2018 – Toán 1; đối chiếu SGK Kết nối tri thức.</t>
        </is>
      </c>
      <c r="AD15" s="3" t="inlineStr">
        <is>
          <t>EduChain Kids soạn thêm (2026-10); bám chương trình GDPT 2018 và trình tự SGK đã chọn</t>
        </is>
      </c>
      <c r="AE15" s="3" t="inlineStr">
        <is>
          <t>Bản soạn mới — cần rà soát</t>
        </is>
      </c>
      <c r="AF15" s="3" t="inlineStr">
        <is>
          <t>Chờ giáo viên duyệt</t>
        </is>
      </c>
      <c r="AG15" s="3" t="n"/>
    </row>
    <row r="16">
      <c r="A16" s="3" t="inlineStr">
        <is>
          <t>EC1-054</t>
        </is>
      </c>
      <c r="B16" s="3" t="inlineStr">
        <is>
          <t>Toán</t>
        </is>
      </c>
      <c r="C16" s="22" t="n">
        <v>1</v>
      </c>
      <c r="D16" s="3" t="inlineStr">
        <is>
          <t>Sau khi học so sánh, xếp thứ tự số</t>
        </is>
      </c>
      <c r="E16" s="3" t="inlineStr">
        <is>
          <t>Xếp thứ tự số</t>
        </is>
      </c>
      <c r="F16" s="23" t="n">
        <v>2</v>
      </c>
      <c r="G16" s="3" t="inlineStr">
        <is>
          <t>Cơ bản</t>
        </is>
      </c>
      <c r="H16" s="22" t="n"/>
      <c r="I16" s="3" t="n"/>
      <c r="J16" s="3" t="inlineStr">
        <is>
          <t>Sắp xếp</t>
        </is>
      </c>
      <c r="K16" s="3" t="inlineStr">
        <is>
          <t>Xếp các số theo thứ tự từ bé đến lớn.
(Các mục: 2 / 5 / 7 / 9)</t>
        </is>
      </c>
      <c r="L16" s="3" t="n"/>
      <c r="M16" s="3" t="n"/>
      <c r="N16" s="3" t="n"/>
      <c r="O16" s="3" t="n"/>
      <c r="P16" s="3" t="n"/>
      <c r="Q16" s="3" t="inlineStr">
        <is>
          <t>2 → 5 → 7 → 9</t>
        </is>
      </c>
      <c r="R16" s="3" t="inlineStr">
        <is>
          <t>Từ bé đến lớn: 2, 5, 7, 9.</t>
        </is>
      </c>
      <c r="S16" s="3" t="n"/>
      <c r="T16" s="22" t="n">
        <v>55</v>
      </c>
      <c r="U16" s="22">
        <f>INDEX(Khung_cap_do!$H$2:$H$6,F16)</f>
        <v/>
      </c>
      <c r="V16" s="22" t="n">
        <v>4</v>
      </c>
      <c r="W16" s="22" t="n">
        <v>3</v>
      </c>
      <c r="X16" s="3" t="inlineStr">
        <is>
          <t>T1.SO.02</t>
        </is>
      </c>
      <c r="Y16" s="3" t="inlineStr">
        <is>
          <t>TOAN.SAPXEP</t>
        </is>
      </c>
      <c r="Z16" s="3" t="inlineStr">
        <is>
          <t>Soạn thêm</t>
        </is>
      </c>
      <c r="AA16" s="3" t="inlineStr"/>
      <c r="AB16" s="3" t="inlineStr">
        <is>
          <t>Đã học so sánh số trong phạm vi 10.</t>
        </is>
      </c>
      <c r="AC16" s="3" t="inlineStr">
        <is>
          <t>Chương trình GDPT 2018 – Toán 1; đối chiếu SGK Kết nối tri thức.</t>
        </is>
      </c>
      <c r="AD16" s="3" t="inlineStr">
        <is>
          <t>EduChain Kids soạn thêm (2026-10); bám chương trình GDPT 2018 và trình tự SGK đã chọn</t>
        </is>
      </c>
      <c r="AE16" s="3" t="inlineStr">
        <is>
          <t>Bản soạn mới — cần rà soát</t>
        </is>
      </c>
      <c r="AF16" s="3" t="inlineStr">
        <is>
          <t>Chờ giáo viên duyệt</t>
        </is>
      </c>
      <c r="AG16" s="3" t="n"/>
    </row>
    <row r="17">
      <c r="A17" s="3" t="inlineStr">
        <is>
          <t>EC1-055</t>
        </is>
      </c>
      <c r="B17" s="3" t="inlineStr">
        <is>
          <t>Toán</t>
        </is>
      </c>
      <c r="C17" s="22" t="n">
        <v>1</v>
      </c>
      <c r="D17" s="3" t="inlineStr">
        <is>
          <t>Sau khi học cộng, trừ trong phạm vi 10</t>
        </is>
      </c>
      <c r="E17" s="3" t="inlineStr">
        <is>
          <t>Tính nhẩm</t>
        </is>
      </c>
      <c r="F17" s="23" t="n">
        <v>2</v>
      </c>
      <c r="G17" s="3" t="inlineStr">
        <is>
          <t>Cơ bản</t>
        </is>
      </c>
      <c r="H17" s="22" t="n"/>
      <c r="I17" s="3" t="n"/>
      <c r="J17" s="3" t="inlineStr">
        <is>
          <t>Chọn đáp án</t>
        </is>
      </c>
      <c r="K17" s="3" t="inlineStr">
        <is>
          <t>Phép tính nào có kết quả bằng 5?</t>
        </is>
      </c>
      <c r="L17" s="3" t="inlineStr">
        <is>
          <t>2 + 3</t>
        </is>
      </c>
      <c r="M17" s="3" t="inlineStr">
        <is>
          <t>4 + 2</t>
        </is>
      </c>
      <c r="N17" s="3" t="inlineStr">
        <is>
          <t>6 − 2</t>
        </is>
      </c>
      <c r="O17" s="3" t="n"/>
      <c r="P17" s="3" t="n"/>
      <c r="Q17" s="3" t="inlineStr">
        <is>
          <t>A</t>
        </is>
      </c>
      <c r="R17" s="3" t="inlineStr">
        <is>
          <t>2 + 3 = 5; 4 + 2 = 6; 6 − 2 = 4.</t>
        </is>
      </c>
      <c r="S17" s="3" t="n"/>
      <c r="T17" s="22" t="n">
        <v>40</v>
      </c>
      <c r="U17" s="22">
        <f>INDEX(Khung_cap_do!$H$2:$H$6,F17)</f>
        <v/>
      </c>
      <c r="V17" s="22" t="n">
        <v>4</v>
      </c>
      <c r="W17" s="22" t="n">
        <v>4</v>
      </c>
      <c r="X17" s="3" t="inlineStr">
        <is>
          <t>T1.PT.02</t>
        </is>
      </c>
      <c r="Y17" s="3" t="inlineStr">
        <is>
          <t>TOAN.TINH</t>
        </is>
      </c>
      <c r="Z17" s="3" t="inlineStr">
        <is>
          <t>Soạn thêm</t>
        </is>
      </c>
      <c r="AA17" s="3" t="inlineStr"/>
      <c r="AB17" s="3" t="inlineStr">
        <is>
          <t>Đã học cộng, trừ trong phạm vi 10.</t>
        </is>
      </c>
      <c r="AC17" s="3" t="inlineStr">
        <is>
          <t>Chương trình GDPT 2018 – Toán 1; đối chiếu SGK Kết nối tri thức.</t>
        </is>
      </c>
      <c r="AD17" s="3" t="inlineStr">
        <is>
          <t>EduChain Kids soạn thêm (2026-10); bám chương trình GDPT 2018 và trình tự SGK đã chọn</t>
        </is>
      </c>
      <c r="AE17" s="3" t="inlineStr">
        <is>
          <t>Bản soạn mới — cần rà soát</t>
        </is>
      </c>
      <c r="AF17" s="3" t="inlineStr">
        <is>
          <t>Chờ giáo viên duyệt</t>
        </is>
      </c>
      <c r="AG17" s="3" t="n"/>
    </row>
    <row r="18">
      <c r="A18" s="3" t="inlineStr">
        <is>
          <t>EC1-007</t>
        </is>
      </c>
      <c r="B18" s="3" t="inlineStr">
        <is>
          <t>Toán</t>
        </is>
      </c>
      <c r="C18" s="22" t="n">
        <v>1</v>
      </c>
      <c r="D18" s="3" t="inlineStr">
        <is>
          <t>Sau khi học cộng tương ứng</t>
        </is>
      </c>
      <c r="E18" s="3" t="inlineStr">
        <is>
          <t>Toán có lời văn</t>
        </is>
      </c>
      <c r="F18" s="23" t="n">
        <v>3</v>
      </c>
      <c r="G18" s="3" t="inlineStr">
        <is>
          <t>Vận dụng</t>
        </is>
      </c>
      <c r="H18" s="22" t="n"/>
      <c r="I18" s="3" t="n"/>
      <c r="J18" s="3" t="inlineStr">
        <is>
          <t>Điền đáp án</t>
        </is>
      </c>
      <c r="K18" s="3" t="inlineStr">
        <is>
          <t>Mai có 2 bút chì, được tặng thêm 2. Mai có tất cả bao nhiêu bút chì?</t>
        </is>
      </c>
      <c r="L18" s="3" t="n"/>
      <c r="M18" s="3" t="n"/>
      <c r="N18" s="3" t="n"/>
      <c r="O18" s="3" t="n"/>
      <c r="P18" s="3" t="n"/>
      <c r="Q18" s="3" t="inlineStr">
        <is>
          <t>4</t>
        </is>
      </c>
      <c r="R18" s="3" t="inlineStr">
        <is>
          <t>Thêm vào nên tính 2 + 2 = 4.</t>
        </is>
      </c>
      <c r="S18" s="3" t="inlineStr">
        <is>
          <t>Được tặng thêm là gộp lại, ta làm phép cộng: 2 + 2 = 4. Mai có 4 bút chì.</t>
        </is>
      </c>
      <c r="T18" s="22" t="n">
        <v>70</v>
      </c>
      <c r="U18" s="22">
        <f>INDEX(Khung_cap_do!$H$2:$H$6,F18)</f>
        <v/>
      </c>
      <c r="V18" s="22" t="n">
        <v>1</v>
      </c>
      <c r="W18" s="22" t="n">
        <v>5</v>
      </c>
      <c r="X18" s="3" t="inlineStr">
        <is>
          <t>T1.PT.03</t>
        </is>
      </c>
      <c r="Y18" s="3" t="inlineStr">
        <is>
          <t>TOAN.LOIVAN</t>
        </is>
      </c>
      <c r="Z18" s="3" t="inlineStr">
        <is>
          <t>Bộ mẫu</t>
        </is>
      </c>
      <c r="AA18" s="3" t="inlineStr"/>
      <c r="AB18" s="3" t="inlineStr">
        <is>
          <t>Đã học phép cộng 2 + 2 và tình huống thêm vào.</t>
        </is>
      </c>
      <c r="AC18" s="3" t="inlineStr">
        <is>
          <t>Vận dụng kiến thức trong tình huống quen thuộc.</t>
        </is>
      </c>
      <c r="AD18" s="3" t="inlineStr">
        <is>
          <t>Chương trình GDPT 2018 / kế hoạch dạy học của trường; đối chiếu văn bản hiện hành</t>
        </is>
      </c>
      <c r="AE18" s="3" t="inlineStr">
        <is>
          <t>Bản mẫu — cần rà soát</t>
        </is>
      </c>
      <c r="AF18" s="3" t="inlineStr">
        <is>
          <t>Chờ giáo viên duyệt</t>
        </is>
      </c>
      <c r="AG18" s="3" t="n"/>
    </row>
    <row r="19">
      <c r="A19" s="3" t="inlineStr">
        <is>
          <t>EC1-008</t>
        </is>
      </c>
      <c r="B19" s="3" t="inlineStr">
        <is>
          <t>Toán</t>
        </is>
      </c>
      <c r="C19" s="22" t="n">
        <v>1</v>
      </c>
      <c r="D19" s="3" t="inlineStr">
        <is>
          <t>Sau khi học trừ tương ứng</t>
        </is>
      </c>
      <c r="E19" s="3" t="inlineStr">
        <is>
          <t>Toán có lời văn</t>
        </is>
      </c>
      <c r="F19" s="23" t="n">
        <v>3</v>
      </c>
      <c r="G19" s="3" t="inlineStr">
        <is>
          <t>Vận dụng</t>
        </is>
      </c>
      <c r="H19" s="22" t="n"/>
      <c r="I19" s="3" t="n"/>
      <c r="J19" s="3" t="inlineStr">
        <is>
          <t>Điền đáp án</t>
        </is>
      </c>
      <c r="K19" s="3" t="inlineStr">
        <is>
          <t>Có 5 con chim, 2 con bay đi. Còn lại bao nhiêu con?</t>
        </is>
      </c>
      <c r="L19" s="3" t="n"/>
      <c r="M19" s="3" t="n"/>
      <c r="N19" s="3" t="n"/>
      <c r="O19" s="3" t="n"/>
      <c r="P19" s="3" t="n"/>
      <c r="Q19" s="3" t="inlineStr">
        <is>
          <t>3</t>
        </is>
      </c>
      <c r="R19" s="3" t="inlineStr">
        <is>
          <t>Bớt đi nên tính 5 − 2 = 3.</t>
        </is>
      </c>
      <c r="S19" s="3" t="inlineStr">
        <is>
          <t>Bay đi là bớt đi, ta làm phép trừ: 5 − 2 = 3. Còn lại 3 con chim.</t>
        </is>
      </c>
      <c r="T19" s="22" t="n">
        <v>60</v>
      </c>
      <c r="U19" s="22">
        <f>INDEX(Khung_cap_do!$H$2:$H$6,F19)</f>
        <v/>
      </c>
      <c r="V19" s="22" t="n">
        <v>1</v>
      </c>
      <c r="W19" s="22" t="n">
        <v>6</v>
      </c>
      <c r="X19" s="3" t="inlineStr">
        <is>
          <t>T1.PT.03</t>
        </is>
      </c>
      <c r="Y19" s="3" t="inlineStr">
        <is>
          <t>TOAN.LOIVAN</t>
        </is>
      </c>
      <c r="Z19" s="3" t="inlineStr">
        <is>
          <t>Bộ mẫu</t>
        </is>
      </c>
      <c r="AA19" s="3" t="inlineStr"/>
      <c r="AB19" s="3" t="inlineStr">
        <is>
          <t>Đã học phép trừ 5 − 2.</t>
        </is>
      </c>
      <c r="AC19" s="3" t="inlineStr">
        <is>
          <t>Chỉ phát hành khi phù hợp tiến trình lớp.</t>
        </is>
      </c>
      <c r="AD19" s="3" t="inlineStr">
        <is>
          <t>Chương trình GDPT 2018 / kế hoạch dạy học của trường; đối chiếu văn bản hiện hành</t>
        </is>
      </c>
      <c r="AE19" s="3" t="inlineStr">
        <is>
          <t>Bản mẫu — cần rà soát</t>
        </is>
      </c>
      <c r="AF19" s="3" t="inlineStr">
        <is>
          <t>Chờ giáo viên duyệt</t>
        </is>
      </c>
      <c r="AG19" s="3" t="n"/>
    </row>
    <row r="20">
      <c r="A20" s="3" t="inlineStr">
        <is>
          <t>EC1-009</t>
        </is>
      </c>
      <c r="B20" s="3" t="inlineStr">
        <is>
          <t>Toán</t>
        </is>
      </c>
      <c r="C20" s="22" t="n">
        <v>1</v>
      </c>
      <c r="D20" s="3" t="inlineStr">
        <is>
          <t>Sau khi học tách/gộp số</t>
        </is>
      </c>
      <c r="E20" s="3" t="inlineStr">
        <is>
          <t>Tách và gộp số</t>
        </is>
      </c>
      <c r="F20" s="23" t="n">
        <v>3</v>
      </c>
      <c r="G20" s="3" t="inlineStr">
        <is>
          <t>Vận dụng</t>
        </is>
      </c>
      <c r="H20" s="22" t="n"/>
      <c r="I20" s="3" t="n"/>
      <c r="J20" s="3" t="inlineStr">
        <is>
          <t>Điền đáp án</t>
        </is>
      </c>
      <c r="K20" s="3" t="inlineStr">
        <is>
          <t>Có 5 khối gỗ, 2 khối đỏ, còn lại xanh. Có mấy khối xanh?</t>
        </is>
      </c>
      <c r="L20" s="3" t="n"/>
      <c r="M20" s="3" t="n"/>
      <c r="N20" s="3" t="n"/>
      <c r="O20" s="3" t="n"/>
      <c r="P20" s="3" t="n"/>
      <c r="Q20" s="3" t="inlineStr">
        <is>
          <t>3</t>
        </is>
      </c>
      <c r="R20" s="3" t="inlineStr">
        <is>
          <t>5 − 2 = 3.</t>
        </is>
      </c>
      <c r="S20" s="3" t="inlineStr">
        <is>
          <t>Lấy tất cả trừ đi số khối đỏ: 5 − 2 = 3. Có 3 khối xanh.</t>
        </is>
      </c>
      <c r="T20" s="22" t="n">
        <v>60</v>
      </c>
      <c r="U20" s="22">
        <f>INDEX(Khung_cap_do!$H$2:$H$6,F20)</f>
        <v/>
      </c>
      <c r="V20" s="22" t="n">
        <v>2</v>
      </c>
      <c r="W20" s="22" t="n">
        <v>5</v>
      </c>
      <c r="X20" s="3" t="inlineStr">
        <is>
          <t>T1.PT.03</t>
        </is>
      </c>
      <c r="Y20" s="3" t="inlineStr">
        <is>
          <t>TOAN.LOIVAN</t>
        </is>
      </c>
      <c r="Z20" s="3" t="inlineStr">
        <is>
          <t>Bộ mẫu</t>
        </is>
      </c>
      <c r="AA20" s="3" t="inlineStr"/>
      <c r="AB20" s="3" t="inlineStr">
        <is>
          <t>Đã học tách/gộp hoặc phép trừ tương ứng.</t>
        </is>
      </c>
      <c r="AC20" s="3" t="inlineStr">
        <is>
          <t>Giáo viên rà soát mạch kiến thức.</t>
        </is>
      </c>
      <c r="AD20" s="3" t="inlineStr">
        <is>
          <t>Chương trình GDPT 2018 / kế hoạch dạy học của trường; đối chiếu văn bản hiện hành</t>
        </is>
      </c>
      <c r="AE20" s="3" t="inlineStr">
        <is>
          <t>Bản mẫu — cần rà soát</t>
        </is>
      </c>
      <c r="AF20" s="3" t="inlineStr">
        <is>
          <t>Chờ giáo viên duyệt</t>
        </is>
      </c>
      <c r="AG20" s="3" t="n"/>
    </row>
    <row r="21">
      <c r="A21" s="3" t="inlineStr">
        <is>
          <t>EC1-012</t>
        </is>
      </c>
      <c r="B21" s="3" t="inlineStr">
        <is>
          <t>Toán</t>
        </is>
      </c>
      <c r="C21" s="22" t="n">
        <v>1</v>
      </c>
      <c r="D21" s="3" t="inlineStr">
        <is>
          <t>Sau khi học phép cộng phù hợp</t>
        </is>
      </c>
      <c r="E21" s="3" t="inlineStr">
        <is>
          <t>Giải quyết vấn đề</t>
        </is>
      </c>
      <c r="F21" s="23" t="n">
        <v>3</v>
      </c>
      <c r="G21" s="3" t="inlineStr">
        <is>
          <t>Vận dụng</t>
        </is>
      </c>
      <c r="H21" s="22" t="n">
        <v>4</v>
      </c>
      <c r="I21" s="3" t="inlineStr">
        <is>
          <t>Cùng dạng "thêm vào" với EC1-007 (một phép tính), nên xếp L3.</t>
        </is>
      </c>
      <c r="J21" s="3" t="inlineStr">
        <is>
          <t>Điền đáp án</t>
        </is>
      </c>
      <c r="K21" s="3" t="inlineStr">
        <is>
          <t>Có 2 con vịt, 3 con đi tới. Có tất cả bao nhiêu con?</t>
        </is>
      </c>
      <c r="L21" s="3" t="n"/>
      <c r="M21" s="3" t="n"/>
      <c r="N21" s="3" t="n"/>
      <c r="O21" s="3" t="n"/>
      <c r="P21" s="3" t="n"/>
      <c r="Q21" s="3" t="inlineStr">
        <is>
          <t>5</t>
        </is>
      </c>
      <c r="R21" s="3" t="inlineStr">
        <is>
          <t>Có thêm vịt: 2 + 3 = 5.</t>
        </is>
      </c>
      <c r="S21" s="3" t="inlineStr">
        <is>
          <t>Đi tới là thêm vào: 2 + 3 = 5. Có tất cả 5 con vịt.</t>
        </is>
      </c>
      <c r="T21" s="22" t="n">
        <v>60</v>
      </c>
      <c r="U21" s="22">
        <f>INDEX(Khung_cap_do!$H$2:$H$6,F21)</f>
        <v/>
      </c>
      <c r="V21" s="22" t="n">
        <v>2</v>
      </c>
      <c r="W21" s="22" t="n">
        <v>6</v>
      </c>
      <c r="X21" s="3" t="inlineStr">
        <is>
          <t>T1.PT.03</t>
        </is>
      </c>
      <c r="Y21" s="3" t="inlineStr">
        <is>
          <t>TOAN.LOIVAN</t>
        </is>
      </c>
      <c r="Z21" s="3" t="inlineStr">
        <is>
          <t>Bộ mẫu</t>
        </is>
      </c>
      <c r="AA21" s="3" t="inlineStr"/>
      <c r="AB21" s="3" t="inlineStr">
        <is>
          <t>Đã học phép cộng 2 + 3.</t>
        </is>
      </c>
      <c r="AC21" s="3" t="inlineStr">
        <is>
          <t>Không dùng nếu phép tính chưa được dạy.</t>
        </is>
      </c>
      <c r="AD21" s="3" t="inlineStr">
        <is>
          <t>Chương trình GDPT 2018 / kế hoạch dạy học của trường; đối chiếu văn bản hiện hành</t>
        </is>
      </c>
      <c r="AE21" s="3" t="inlineStr">
        <is>
          <t>Bản mẫu — cần rà soát</t>
        </is>
      </c>
      <c r="AF21" s="3" t="inlineStr">
        <is>
          <t>Chờ giáo viên duyệt</t>
        </is>
      </c>
      <c r="AG21" s="3" t="n"/>
    </row>
    <row r="22">
      <c r="A22" s="3" t="inlineStr">
        <is>
          <t>EC1-015</t>
        </is>
      </c>
      <c r="B22" s="3" t="inlineStr">
        <is>
          <t>Toán</t>
        </is>
      </c>
      <c r="C22" s="22" t="n">
        <v>1</v>
      </c>
      <c r="D22" s="3" t="inlineStr">
        <is>
          <t>Ôn tập cuối giai đoạn</t>
        </is>
      </c>
      <c r="E22" s="3" t="inlineStr">
        <is>
          <t>Tổng hợp</t>
        </is>
      </c>
      <c r="F22" s="23" t="n">
        <v>3</v>
      </c>
      <c r="G22" s="3" t="inlineStr">
        <is>
          <t>Vận dụng</t>
        </is>
      </c>
      <c r="H22" s="22" t="n">
        <v>5</v>
      </c>
      <c r="I22" s="3" t="inlineStr">
        <is>
          <t>Chỉ cần một phép trừ quen thuộc, chưa phải tình huống mở rộng; xếp L3.</t>
        </is>
      </c>
      <c r="J22" s="3" t="inlineStr">
        <is>
          <t>Chọn đáp án</t>
        </is>
      </c>
      <c r="K22" s="3" t="inlineStr">
        <is>
          <t>Có 6 chiếc lá, 2 chiếc rơi xuống. Còn lại bao nhiêu?</t>
        </is>
      </c>
      <c r="L22" s="3" t="inlineStr">
        <is>
          <t>8</t>
        </is>
      </c>
      <c r="M22" s="3" t="inlineStr">
        <is>
          <t>4</t>
        </is>
      </c>
      <c r="N22" s="3" t="inlineStr">
        <is>
          <t>3</t>
        </is>
      </c>
      <c r="O22" s="3" t="n"/>
      <c r="P22" s="3" t="n"/>
      <c r="Q22" s="3" t="inlineStr">
        <is>
          <t>B</t>
        </is>
      </c>
      <c r="R22" s="3" t="inlineStr">
        <is>
          <t>6 − 2 = 4.</t>
        </is>
      </c>
      <c r="S22" s="3" t="inlineStr">
        <is>
          <t>Rơi xuống là bớt đi: 6 − 2 = 4. Còn lại 4 chiếc lá.</t>
        </is>
      </c>
      <c r="T22" s="22" t="n">
        <v>50</v>
      </c>
      <c r="U22" s="22">
        <f>INDEX(Khung_cap_do!$H$2:$H$6,F22)</f>
        <v/>
      </c>
      <c r="V22" s="22" t="n">
        <v>3</v>
      </c>
      <c r="W22" s="22" t="n">
        <v>5</v>
      </c>
      <c r="X22" s="3" t="inlineStr">
        <is>
          <t>T1.PT.03</t>
        </is>
      </c>
      <c r="Y22" s="3" t="inlineStr">
        <is>
          <t>TOAN.LOIVAN</t>
        </is>
      </c>
      <c r="Z22" s="3" t="inlineStr">
        <is>
          <t>Bộ mẫu</t>
        </is>
      </c>
      <c r="AA22" s="3" t="inlineStr"/>
      <c r="AB22" s="3" t="inlineStr">
        <is>
          <t>Đã học phép trừ 6 − 2.</t>
        </is>
      </c>
      <c r="AC22" s="3" t="inlineStr">
        <is>
          <t>Chỉ dùng nếu tất cả kiến thức đã được học.</t>
        </is>
      </c>
      <c r="AD22" s="3" t="inlineStr">
        <is>
          <t>Chương trình GDPT 2018 / kế hoạch dạy học của trường; đối chiếu văn bản hiện hành</t>
        </is>
      </c>
      <c r="AE22" s="3" t="inlineStr">
        <is>
          <t>Bản mẫu — cần rà soát</t>
        </is>
      </c>
      <c r="AF22" s="3" t="inlineStr">
        <is>
          <t>Chờ giáo viên duyệt</t>
        </is>
      </c>
      <c r="AG22" s="3" t="n"/>
    </row>
    <row r="23">
      <c r="A23" s="3" t="inlineStr">
        <is>
          <t>EC1-056</t>
        </is>
      </c>
      <c r="B23" s="3" t="inlineStr">
        <is>
          <t>Toán</t>
        </is>
      </c>
      <c r="C23" s="22" t="n">
        <v>1</v>
      </c>
      <c r="D23" s="3" t="inlineStr">
        <is>
          <t>Sau khi học phép cộng trong phạm vi 10</t>
        </is>
      </c>
      <c r="E23" s="3" t="inlineStr">
        <is>
          <t>Toán có lời văn</t>
        </is>
      </c>
      <c r="F23" s="23" t="n">
        <v>3</v>
      </c>
      <c r="G23" s="3" t="inlineStr">
        <is>
          <t>Vận dụng</t>
        </is>
      </c>
      <c r="H23" s="22" t="n"/>
      <c r="I23" s="3" t="n"/>
      <c r="J23" s="3" t="inlineStr">
        <is>
          <t>Điền đáp án</t>
        </is>
      </c>
      <c r="K23" s="3" t="inlineStr">
        <is>
          <t>Trong vườn có 6 cây cam và 3 cây bưởi. Vườn có tất cả bao nhiêu cây?</t>
        </is>
      </c>
      <c r="L23" s="3" t="n"/>
      <c r="M23" s="3" t="n"/>
      <c r="N23" s="3" t="n"/>
      <c r="O23" s="3" t="n"/>
      <c r="P23" s="3" t="n"/>
      <c r="Q23" s="3" t="inlineStr">
        <is>
          <t>9 / chín</t>
        </is>
      </c>
      <c r="R23" s="3" t="inlineStr">
        <is>
          <t>6 + 3 = 9.</t>
        </is>
      </c>
      <c r="S23" s="3" t="inlineStr">
        <is>
          <t>Gộp cây cam và cây bưởi: 6 + 3 = 9. Vườn có 9 cây.</t>
        </is>
      </c>
      <c r="T23" s="22" t="n">
        <v>70</v>
      </c>
      <c r="U23" s="22">
        <f>INDEX(Khung_cap_do!$H$2:$H$6,F23)</f>
        <v/>
      </c>
      <c r="V23" s="22" t="n">
        <v>3</v>
      </c>
      <c r="W23" s="22" t="n">
        <v>6</v>
      </c>
      <c r="X23" s="3" t="inlineStr">
        <is>
          <t>T1.PT.03</t>
        </is>
      </c>
      <c r="Y23" s="3" t="inlineStr">
        <is>
          <t>TOAN.LOIVAN</t>
        </is>
      </c>
      <c r="Z23" s="3" t="inlineStr">
        <is>
          <t>Soạn thêm</t>
        </is>
      </c>
      <c r="AA23" s="3" t="inlineStr"/>
      <c r="AB23" s="3" t="inlineStr">
        <is>
          <t>Đã học cộng trong phạm vi 10.</t>
        </is>
      </c>
      <c r="AC23" s="3" t="inlineStr">
        <is>
          <t>Chương trình GDPT 2018 – Toán 1; đối chiếu SGK Kết nối tri thức.</t>
        </is>
      </c>
      <c r="AD23" s="3" t="inlineStr">
        <is>
          <t>EduChain Kids soạn thêm (2026-10); bám chương trình GDPT 2018 và trình tự SGK đã chọn</t>
        </is>
      </c>
      <c r="AE23" s="3" t="inlineStr">
        <is>
          <t>Bản soạn mới — cần rà soát</t>
        </is>
      </c>
      <c r="AF23" s="3" t="inlineStr">
        <is>
          <t>Chờ giáo viên duyệt</t>
        </is>
      </c>
      <c r="AG23" s="3" t="n"/>
    </row>
    <row r="24">
      <c r="A24" s="3" t="inlineStr">
        <is>
          <t>EC1-057</t>
        </is>
      </c>
      <c r="B24" s="3" t="inlineStr">
        <is>
          <t>Toán</t>
        </is>
      </c>
      <c r="C24" s="22" t="n">
        <v>1</v>
      </c>
      <c r="D24" s="3" t="inlineStr">
        <is>
          <t>Sau khi học phép trừ trong phạm vi 10</t>
        </is>
      </c>
      <c r="E24" s="3" t="inlineStr">
        <is>
          <t>Toán có lời văn</t>
        </is>
      </c>
      <c r="F24" s="23" t="n">
        <v>3</v>
      </c>
      <c r="G24" s="3" t="inlineStr">
        <is>
          <t>Vận dụng</t>
        </is>
      </c>
      <c r="H24" s="22" t="n"/>
      <c r="I24" s="3" t="n"/>
      <c r="J24" s="3" t="inlineStr">
        <is>
          <t>Điền đáp án</t>
        </is>
      </c>
      <c r="K24" s="3" t="inlineStr">
        <is>
          <t>Bình có 8 cái kẹo, Bình cho em 3 cái. Bình còn lại mấy cái kẹo?</t>
        </is>
      </c>
      <c r="L24" s="3" t="n"/>
      <c r="M24" s="3" t="n"/>
      <c r="N24" s="3" t="n"/>
      <c r="O24" s="3" t="n"/>
      <c r="P24" s="3" t="n"/>
      <c r="Q24" s="3" t="inlineStr">
        <is>
          <t>5 / năm</t>
        </is>
      </c>
      <c r="R24" s="3" t="inlineStr">
        <is>
          <t>8 − 3 = 5.</t>
        </is>
      </c>
      <c r="S24" s="3" t="inlineStr">
        <is>
          <t>Cho em là bớt đi: 8 − 3 = 5. Bình còn 5 cái kẹo.</t>
        </is>
      </c>
      <c r="T24" s="22" t="n">
        <v>70</v>
      </c>
      <c r="U24" s="22">
        <f>INDEX(Khung_cap_do!$H$2:$H$6,F24)</f>
        <v/>
      </c>
      <c r="V24" s="22" t="n">
        <v>4</v>
      </c>
      <c r="W24" s="22" t="n">
        <v>5</v>
      </c>
      <c r="X24" s="3" t="inlineStr">
        <is>
          <t>T1.PT.03</t>
        </is>
      </c>
      <c r="Y24" s="3" t="inlineStr">
        <is>
          <t>TOAN.LOIVAN</t>
        </is>
      </c>
      <c r="Z24" s="3" t="inlineStr">
        <is>
          <t>Soạn thêm</t>
        </is>
      </c>
      <c r="AA24" s="3" t="inlineStr"/>
      <c r="AB24" s="3" t="inlineStr">
        <is>
          <t>Đã học trừ trong phạm vi 10.</t>
        </is>
      </c>
      <c r="AC24" s="3" t="inlineStr">
        <is>
          <t>Chương trình GDPT 2018 – Toán 1; đối chiếu SGK Kết nối tri thức.</t>
        </is>
      </c>
      <c r="AD24" s="3" t="inlineStr">
        <is>
          <t>EduChain Kids soạn thêm (2026-10); bám chương trình GDPT 2018 và trình tự SGK đã chọn</t>
        </is>
      </c>
      <c r="AE24" s="3" t="inlineStr">
        <is>
          <t>Bản soạn mới — cần rà soát</t>
        </is>
      </c>
      <c r="AF24" s="3" t="inlineStr">
        <is>
          <t>Chờ giáo viên duyệt</t>
        </is>
      </c>
      <c r="AG24" s="3" t="n"/>
    </row>
    <row r="25">
      <c r="A25" s="3" t="inlineStr">
        <is>
          <t>EC1-058</t>
        </is>
      </c>
      <c r="B25" s="3" t="inlineStr">
        <is>
          <t>Toán</t>
        </is>
      </c>
      <c r="C25" s="22" t="n">
        <v>1</v>
      </c>
      <c r="D25" s="3" t="inlineStr">
        <is>
          <t>Sau khi học cộng, trừ trong phạm vi 10</t>
        </is>
      </c>
      <c r="E25" s="3" t="inlineStr">
        <is>
          <t>Tính nhẩm</t>
        </is>
      </c>
      <c r="F25" s="23" t="n">
        <v>3</v>
      </c>
      <c r="G25" s="3" t="inlineStr">
        <is>
          <t>Vận dụng</t>
        </is>
      </c>
      <c r="H25" s="22" t="n"/>
      <c r="I25" s="3" t="n"/>
      <c r="J25" s="3" t="inlineStr">
        <is>
          <t>Chọn nhiều đáp án</t>
        </is>
      </c>
      <c r="K25" s="3" t="inlineStr">
        <is>
          <t>Chọn TẤT CẢ phép tính có kết quả bằng 6.</t>
        </is>
      </c>
      <c r="L25" s="3" t="inlineStr">
        <is>
          <t>3 + 3</t>
        </is>
      </c>
      <c r="M25" s="3" t="inlineStr">
        <is>
          <t>4 + 2</t>
        </is>
      </c>
      <c r="N25" s="3" t="inlineStr">
        <is>
          <t>9 − 2</t>
        </is>
      </c>
      <c r="O25" s="3" t="inlineStr">
        <is>
          <t>10 − 4</t>
        </is>
      </c>
      <c r="P25" s="3" t="n"/>
      <c r="Q25" s="3" t="inlineStr">
        <is>
          <t>A, B, D</t>
        </is>
      </c>
      <c r="R25" s="3" t="inlineStr">
        <is>
          <t>3 + 3 = 6; 4 + 2 = 6; 10 − 4 = 6; còn 9 − 2 = 7.</t>
        </is>
      </c>
      <c r="S25" s="3" t="inlineStr">
        <is>
          <t>Tính từng phép: 3 + 3 = 6, 4 + 2 = 6, 9 − 2 = 7, 10 − 4 = 6. Chọn 3 phép có kết quả 6.</t>
        </is>
      </c>
      <c r="T25" s="22" t="n">
        <v>60</v>
      </c>
      <c r="U25" s="22">
        <f>INDEX(Khung_cap_do!$H$2:$H$6,F25)</f>
        <v/>
      </c>
      <c r="V25" s="22" t="n">
        <v>4</v>
      </c>
      <c r="W25" s="22" t="n">
        <v>6</v>
      </c>
      <c r="X25" s="3" t="inlineStr">
        <is>
          <t>T1.PT.02</t>
        </is>
      </c>
      <c r="Y25" s="3" t="inlineStr">
        <is>
          <t>TOAN.TINH</t>
        </is>
      </c>
      <c r="Z25" s="3" t="inlineStr">
        <is>
          <t>Soạn thêm</t>
        </is>
      </c>
      <c r="AA25" s="3" t="inlineStr"/>
      <c r="AB25" s="3" t="inlineStr">
        <is>
          <t>Đã học cộng, trừ trong phạm vi 10.</t>
        </is>
      </c>
      <c r="AC25" s="3" t="inlineStr">
        <is>
          <t>Chương trình GDPT 2018 – Toán 1; đối chiếu SGK Kết nối tri thức.</t>
        </is>
      </c>
      <c r="AD25" s="3" t="inlineStr">
        <is>
          <t>EduChain Kids soạn thêm (2026-10); bám chương trình GDPT 2018 và trình tự SGK đã chọn</t>
        </is>
      </c>
      <c r="AE25" s="3" t="inlineStr">
        <is>
          <t>Bản soạn mới — cần rà soát</t>
        </is>
      </c>
      <c r="AF25" s="3" t="inlineStr">
        <is>
          <t>Chờ giáo viên duyệt</t>
        </is>
      </c>
      <c r="AG25" s="3" t="n"/>
    </row>
    <row r="26">
      <c r="A26" s="3" t="inlineStr">
        <is>
          <t>EC1-010</t>
        </is>
      </c>
      <c r="B26" s="3" t="inlineStr">
        <is>
          <t>Toán</t>
        </is>
      </c>
      <c r="C26" s="22" t="n">
        <v>1</v>
      </c>
      <c r="D26" s="3" t="inlineStr">
        <is>
          <t>Sau khi học cộng phù hợp</t>
        </is>
      </c>
      <c r="E26" s="3" t="inlineStr">
        <is>
          <t>Chọn phép tính</t>
        </is>
      </c>
      <c r="F26" s="23" t="n">
        <v>4</v>
      </c>
      <c r="G26" s="3" t="inlineStr">
        <is>
          <t>Thử thách</t>
        </is>
      </c>
      <c r="H26" s="22" t="n"/>
      <c r="I26" s="3" t="n"/>
      <c r="J26" s="3" t="inlineStr">
        <is>
          <t>Chọn đáp án</t>
        </is>
      </c>
      <c r="K26" s="3" t="inlineStr">
        <is>
          <t>An có 3 viên bi, Bình có 2 viên. Cả hai có bao nhiêu viên?</t>
        </is>
      </c>
      <c r="L26" s="3" t="inlineStr">
        <is>
          <t>3 − 2 = 1</t>
        </is>
      </c>
      <c r="M26" s="3" t="inlineStr">
        <is>
          <t>3 + 2 = 5</t>
        </is>
      </c>
      <c r="N26" s="3" t="inlineStr">
        <is>
          <t>3 = 2</t>
        </is>
      </c>
      <c r="O26" s="3" t="n"/>
      <c r="P26" s="3" t="n"/>
      <c r="Q26" s="3" t="inlineStr">
        <is>
          <t>B</t>
        </is>
      </c>
      <c r="R26" s="3" t="inlineStr">
        <is>
          <t>Gộp số bi: 3 + 2 = 5.</t>
        </is>
      </c>
      <c r="S26" s="3" t="inlineStr">
        <is>
          <t>"Cả hai" là gộp lại, ta chọn phép cộng: 3 + 2 = 5.</t>
        </is>
      </c>
      <c r="T26" s="22" t="n">
        <v>60</v>
      </c>
      <c r="U26" s="22">
        <f>INDEX(Khung_cap_do!$H$2:$H$6,F26)</f>
        <v/>
      </c>
      <c r="V26" s="22" t="n">
        <v>1</v>
      </c>
      <c r="W26" s="22" t="n">
        <v>7</v>
      </c>
      <c r="X26" s="3" t="inlineStr">
        <is>
          <t>T1.PT.07</t>
        </is>
      </c>
      <c r="Y26" s="3" t="inlineStr">
        <is>
          <t>TOAN.LOIVAN</t>
        </is>
      </c>
      <c r="Z26" s="3" t="inlineStr">
        <is>
          <t>Bộ mẫu</t>
        </is>
      </c>
      <c r="AA26" s="3" t="inlineStr"/>
      <c r="AB26" s="3" t="inlineStr">
        <is>
          <t>Đã học cộng trong phạm vi 5.</t>
        </is>
      </c>
      <c r="AC26" s="3" t="inlineStr">
        <is>
          <t>Khó hơn ở việc chọn phép tính, không phải kiến thức mới.</t>
        </is>
      </c>
      <c r="AD26" s="3" t="inlineStr">
        <is>
          <t>Chương trình GDPT 2018 / kế hoạch dạy học của trường; đối chiếu văn bản hiện hành</t>
        </is>
      </c>
      <c r="AE26" s="3" t="inlineStr">
        <is>
          <t>Bản mẫu — cần rà soát</t>
        </is>
      </c>
      <c r="AF26" s="3" t="inlineStr">
        <is>
          <t>Chờ giáo viên duyệt</t>
        </is>
      </c>
      <c r="AG26" s="3" t="n"/>
    </row>
    <row r="27">
      <c r="A27" s="3" t="inlineStr">
        <is>
          <t>EC1-011</t>
        </is>
      </c>
      <c r="B27" s="3" t="inlineStr">
        <is>
          <t>Toán</t>
        </is>
      </c>
      <c r="C27" s="22" t="n">
        <v>1</v>
      </c>
      <c r="D27" s="3" t="inlineStr">
        <is>
          <t>Sau khi học dãy số</t>
        </is>
      </c>
      <c r="E27" s="3" t="inlineStr">
        <is>
          <t>Quy luật</t>
        </is>
      </c>
      <c r="F27" s="23" t="n">
        <v>4</v>
      </c>
      <c r="G27" s="3" t="inlineStr">
        <is>
          <t>Thử thách</t>
        </is>
      </c>
      <c r="H27" s="22" t="n"/>
      <c r="I27" s="3" t="n"/>
      <c r="J27" s="3" t="inlineStr">
        <is>
          <t>Chọn đáp án</t>
        </is>
      </c>
      <c r="K27" s="3" t="inlineStr">
        <is>
          <t>Dãy 1, 2, 1, 2, __. Số tiếp theo là gì?</t>
        </is>
      </c>
      <c r="L27" s="3" t="inlineStr">
        <is>
          <t>1</t>
        </is>
      </c>
      <c r="M27" s="3" t="inlineStr">
        <is>
          <t>3</t>
        </is>
      </c>
      <c r="N27" s="3" t="inlineStr">
        <is>
          <t>4</t>
        </is>
      </c>
      <c r="O27" s="3" t="n"/>
      <c r="P27" s="3" t="n"/>
      <c r="Q27" s="3" t="inlineStr">
        <is>
          <t>A</t>
        </is>
      </c>
      <c r="R27" s="3" t="inlineStr">
        <is>
          <t>Dãy lặp lại 1 rồi 2.</t>
        </is>
      </c>
      <c r="S27" s="3" t="inlineStr">
        <is>
          <t>Các số lặp lại theo nhóm "1, 2". Sau 2 lại là 1.</t>
        </is>
      </c>
      <c r="T27" s="22" t="n">
        <v>60</v>
      </c>
      <c r="U27" s="22">
        <f>INDEX(Khung_cap_do!$H$2:$H$6,F27)</f>
        <v/>
      </c>
      <c r="V27" s="22" t="n">
        <v>1</v>
      </c>
      <c r="W27" s="22" t="n">
        <v>8</v>
      </c>
      <c r="X27" s="3" t="inlineStr">
        <is>
          <t>T1.SO.01</t>
        </is>
      </c>
      <c r="Y27" s="3" t="inlineStr">
        <is>
          <t>TOAN.SOTHIEU</t>
        </is>
      </c>
      <c r="Z27" s="3" t="inlineStr">
        <is>
          <t>Bộ mẫu</t>
        </is>
      </c>
      <c r="AA27" s="3" t="inlineStr"/>
      <c r="AB27" s="3" t="inlineStr">
        <is>
          <t>Đọc được các số trong dãy.</t>
        </is>
      </c>
      <c r="AC27" s="3" t="inlineStr">
        <is>
          <t>Bài mở rộng; không thay thế nội dung cốt lõi.</t>
        </is>
      </c>
      <c r="AD27" s="3" t="inlineStr">
        <is>
          <t>Chương trình GDPT 2018 / kế hoạch dạy học của trường; đối chiếu văn bản hiện hành</t>
        </is>
      </c>
      <c r="AE27" s="3" t="inlineStr">
        <is>
          <t>Bản mẫu — cần rà soát</t>
        </is>
      </c>
      <c r="AF27" s="3" t="inlineStr">
        <is>
          <t>Chờ giáo viên duyệt</t>
        </is>
      </c>
      <c r="AG27" s="3" t="n"/>
    </row>
    <row r="28">
      <c r="A28" s="3" t="inlineStr">
        <is>
          <t>EC1-059</t>
        </is>
      </c>
      <c r="B28" s="3" t="inlineStr">
        <is>
          <t>Toán</t>
        </is>
      </c>
      <c r="C28" s="22" t="n">
        <v>1</v>
      </c>
      <c r="D28" s="3" t="inlineStr">
        <is>
          <t>Sau khi học phép trừ trong phạm vi 10</t>
        </is>
      </c>
      <c r="E28" s="3" t="inlineStr">
        <is>
          <t>Chọn phép tính</t>
        </is>
      </c>
      <c r="F28" s="23" t="n">
        <v>4</v>
      </c>
      <c r="G28" s="3" t="inlineStr">
        <is>
          <t>Thử thách</t>
        </is>
      </c>
      <c r="H28" s="22" t="n"/>
      <c r="I28" s="3" t="n"/>
      <c r="J28" s="3" t="inlineStr">
        <is>
          <t>Chọn đáp án</t>
        </is>
      </c>
      <c r="K28" s="3" t="inlineStr">
        <is>
          <t>Có 7 bạn đang chơi, 2 bạn về nhà. Phép tính nào đúng?</t>
        </is>
      </c>
      <c r="L28" s="3" t="inlineStr">
        <is>
          <t>7 + 2 = 9</t>
        </is>
      </c>
      <c r="M28" s="3" t="inlineStr">
        <is>
          <t>7 − 2 = 5</t>
        </is>
      </c>
      <c r="N28" s="3" t="inlineStr">
        <is>
          <t>5 − 2 = 3</t>
        </is>
      </c>
      <c r="O28" s="3" t="n"/>
      <c r="P28" s="3" t="n"/>
      <c r="Q28" s="3" t="inlineStr">
        <is>
          <t>B</t>
        </is>
      </c>
      <c r="R28" s="3" t="inlineStr">
        <is>
          <t>Về nhà là bớt đi: 7 − 2 = 5.</t>
        </is>
      </c>
      <c r="S28" s="3" t="inlineStr">
        <is>
          <t>Lúc đầu có 7 bạn, 2 bạn về nhà nên bớt đi 2: 7 − 2 = 5.</t>
        </is>
      </c>
      <c r="T28" s="22" t="n">
        <v>60</v>
      </c>
      <c r="U28" s="22">
        <f>INDEX(Khung_cap_do!$H$2:$H$6,F28)</f>
        <v/>
      </c>
      <c r="V28" s="22" t="n">
        <v>2</v>
      </c>
      <c r="W28" s="22" t="n">
        <v>7</v>
      </c>
      <c r="X28" s="3" t="inlineStr">
        <is>
          <t>T1.PT.07</t>
        </is>
      </c>
      <c r="Y28" s="3" t="inlineStr">
        <is>
          <t>TOAN.LOIVAN</t>
        </is>
      </c>
      <c r="Z28" s="3" t="inlineStr">
        <is>
          <t>Soạn thêm</t>
        </is>
      </c>
      <c r="AA28" s="3" t="inlineStr"/>
      <c r="AB28" s="3" t="inlineStr">
        <is>
          <t>Đã học trừ và bài toán có lời văn đơn giản.</t>
        </is>
      </c>
      <c r="AC28" s="3" t="inlineStr">
        <is>
          <t>Chương trình GDPT 2018 – Toán 1; đối chiếu SGK Kết nối tri thức.</t>
        </is>
      </c>
      <c r="AD28" s="3" t="inlineStr">
        <is>
          <t>EduChain Kids soạn thêm (2026-10); bám chương trình GDPT 2018 và trình tự SGK đã chọn</t>
        </is>
      </c>
      <c r="AE28" s="3" t="inlineStr">
        <is>
          <t>Bản soạn mới — cần rà soát</t>
        </is>
      </c>
      <c r="AF28" s="3" t="inlineStr">
        <is>
          <t>Chờ giáo viên duyệt</t>
        </is>
      </c>
      <c r="AG28" s="3" t="n"/>
    </row>
    <row r="29">
      <c r="A29" s="3" t="inlineStr">
        <is>
          <t>EC1-060</t>
        </is>
      </c>
      <c r="B29" s="3" t="inlineStr">
        <is>
          <t>Toán</t>
        </is>
      </c>
      <c r="C29" s="22" t="n">
        <v>1</v>
      </c>
      <c r="D29" s="3" t="inlineStr">
        <is>
          <t>Sau khi học phép cộng trong phạm vi 10</t>
        </is>
      </c>
      <c r="E29" s="3" t="inlineStr">
        <is>
          <t>Tìm số còn thiếu</t>
        </is>
      </c>
      <c r="F29" s="23" t="n">
        <v>4</v>
      </c>
      <c r="G29" s="3" t="inlineStr">
        <is>
          <t>Thử thách</t>
        </is>
      </c>
      <c r="H29" s="22" t="n"/>
      <c r="I29" s="3" t="n"/>
      <c r="J29" s="3" t="inlineStr">
        <is>
          <t>Điền đáp án</t>
        </is>
      </c>
      <c r="K29" s="3" t="inlineStr">
        <is>
          <t>Điền số còn thiếu: 3 + ... = 8</t>
        </is>
      </c>
      <c r="L29" s="3" t="n"/>
      <c r="M29" s="3" t="n"/>
      <c r="N29" s="3" t="n"/>
      <c r="O29" s="3" t="n"/>
      <c r="P29" s="3" t="n"/>
      <c r="Q29" s="3" t="inlineStr">
        <is>
          <t>5 / năm</t>
        </is>
      </c>
      <c r="R29" s="3" t="inlineStr">
        <is>
          <t>3 + 5 = 8.</t>
        </is>
      </c>
      <c r="S29" s="3" t="inlineStr">
        <is>
          <t>Đếm thêm từ 3 đến 8: 4, 5, 6, 7, 8 là 5 bước. Vậy 3 + 5 = 8.</t>
        </is>
      </c>
      <c r="T29" s="22" t="n">
        <v>70</v>
      </c>
      <c r="U29" s="22">
        <f>INDEX(Khung_cap_do!$H$2:$H$6,F29)</f>
        <v/>
      </c>
      <c r="V29" s="22" t="n">
        <v>2</v>
      </c>
      <c r="W29" s="22" t="n">
        <v>8</v>
      </c>
      <c r="X29" s="3" t="inlineStr">
        <is>
          <t>T1.PT.02</t>
        </is>
      </c>
      <c r="Y29" s="3" t="inlineStr">
        <is>
          <t>TOAN.SOTHIEU</t>
        </is>
      </c>
      <c r="Z29" s="3" t="inlineStr">
        <is>
          <t>Soạn thêm</t>
        </is>
      </c>
      <c r="AA29" s="3" t="inlineStr"/>
      <c r="AB29" s="3" t="inlineStr">
        <is>
          <t>Đã học cộng trong phạm vi 10.</t>
        </is>
      </c>
      <c r="AC29" s="3" t="inlineStr">
        <is>
          <t>Chương trình GDPT 2018 – Toán 1; đối chiếu SGK Kết nối tri thức.</t>
        </is>
      </c>
      <c r="AD29" s="3" t="inlineStr">
        <is>
          <t>EduChain Kids soạn thêm (2026-10); bám chương trình GDPT 2018 và trình tự SGK đã chọn</t>
        </is>
      </c>
      <c r="AE29" s="3" t="inlineStr">
        <is>
          <t>Bản soạn mới — cần rà soát</t>
        </is>
      </c>
      <c r="AF29" s="3" t="inlineStr">
        <is>
          <t>Chờ giáo viên duyệt</t>
        </is>
      </c>
      <c r="AG29" s="3" t="n"/>
    </row>
    <row r="30">
      <c r="A30" s="3" t="inlineStr">
        <is>
          <t>EC1-061</t>
        </is>
      </c>
      <c r="B30" s="3" t="inlineStr">
        <is>
          <t>Toán</t>
        </is>
      </c>
      <c r="C30" s="22" t="n">
        <v>1</v>
      </c>
      <c r="D30" s="3" t="inlineStr">
        <is>
          <t>Sau khi học các số 0–10</t>
        </is>
      </c>
      <c r="E30" s="3" t="inlineStr">
        <is>
          <t>Quy luật dãy số</t>
        </is>
      </c>
      <c r="F30" s="23" t="n">
        <v>4</v>
      </c>
      <c r="G30" s="3" t="inlineStr">
        <is>
          <t>Thử thách</t>
        </is>
      </c>
      <c r="H30" s="22" t="n"/>
      <c r="I30" s="3" t="n"/>
      <c r="J30" s="3" t="inlineStr">
        <is>
          <t>Điền đáp án</t>
        </is>
      </c>
      <c r="K30" s="3" t="inlineStr">
        <is>
          <t>Dãy số: 2, 4, 6, ... Số tiếp theo là số mấy?</t>
        </is>
      </c>
      <c r="L30" s="3" t="n"/>
      <c r="M30" s="3" t="n"/>
      <c r="N30" s="3" t="n"/>
      <c r="O30" s="3" t="n"/>
      <c r="P30" s="3" t="n"/>
      <c r="Q30" s="3" t="inlineStr">
        <is>
          <t>8 / tám</t>
        </is>
      </c>
      <c r="R30" s="3" t="inlineStr">
        <is>
          <t>Mỗi lần thêm 2: 6 + 2 = 8.</t>
        </is>
      </c>
      <c r="S30" s="3" t="inlineStr">
        <is>
          <t>2 lên 4 thêm 2, 4 lên 6 thêm 2. Vậy sau 6 là 6 + 2 = 8.</t>
        </is>
      </c>
      <c r="T30" s="22" t="n">
        <v>70</v>
      </c>
      <c r="U30" s="22">
        <f>INDEX(Khung_cap_do!$H$2:$H$6,F30)</f>
        <v/>
      </c>
      <c r="V30" s="22" t="n">
        <v>3</v>
      </c>
      <c r="W30" s="22" t="n">
        <v>7</v>
      </c>
      <c r="X30" s="3" t="inlineStr">
        <is>
          <t>T1.SO.01</t>
        </is>
      </c>
      <c r="Y30" s="3" t="inlineStr">
        <is>
          <t>TOAN.SOTHIEU</t>
        </is>
      </c>
      <c r="Z30" s="3" t="inlineStr">
        <is>
          <t>Soạn thêm</t>
        </is>
      </c>
      <c r="AA30" s="3" t="inlineStr"/>
      <c r="AB30" s="3" t="inlineStr">
        <is>
          <t>Đã học đếm, cộng trong phạm vi 10.</t>
        </is>
      </c>
      <c r="AC30" s="3" t="inlineStr">
        <is>
          <t>Chương trình GDPT 2018 – Toán 1; đối chiếu SGK Kết nối tri thức.</t>
        </is>
      </c>
      <c r="AD30" s="3" t="inlineStr">
        <is>
          <t>EduChain Kids soạn thêm (2026-10); bám chương trình GDPT 2018 và trình tự SGK đã chọn</t>
        </is>
      </c>
      <c r="AE30" s="3" t="inlineStr">
        <is>
          <t>Bản soạn mới — cần rà soát</t>
        </is>
      </c>
      <c r="AF30" s="3" t="inlineStr">
        <is>
          <t>Chờ giáo viên duyệt</t>
        </is>
      </c>
      <c r="AG30" s="3" t="n"/>
    </row>
    <row r="31">
      <c r="A31" s="3" t="inlineStr">
        <is>
          <t>EC1-062</t>
        </is>
      </c>
      <c r="B31" s="3" t="inlineStr">
        <is>
          <t>Toán</t>
        </is>
      </c>
      <c r="C31" s="22" t="n">
        <v>1</v>
      </c>
      <c r="D31" s="3" t="inlineStr">
        <is>
          <t>Sau khi học cộng, trừ trong phạm vi 10</t>
        </is>
      </c>
      <c r="E31" s="3" t="inlineStr">
        <is>
          <t>So sánh kết quả phép tính</t>
        </is>
      </c>
      <c r="F31" s="23" t="n">
        <v>4</v>
      </c>
      <c r="G31" s="3" t="inlineStr">
        <is>
          <t>Thử thách</t>
        </is>
      </c>
      <c r="H31" s="22" t="n"/>
      <c r="I31" s="3" t="n"/>
      <c r="J31" s="3" t="inlineStr">
        <is>
          <t>Đúng / Sai</t>
        </is>
      </c>
      <c r="K31" s="3" t="inlineStr">
        <is>
          <t>4 + 3 = 9 − 2</t>
        </is>
      </c>
      <c r="L31" s="3" t="inlineStr">
        <is>
          <t>Đúng</t>
        </is>
      </c>
      <c r="M31" s="3" t="inlineStr">
        <is>
          <t>Sai</t>
        </is>
      </c>
      <c r="N31" s="3" t="n"/>
      <c r="O31" s="3" t="n"/>
      <c r="P31" s="3" t="n"/>
      <c r="Q31" s="3" t="inlineStr">
        <is>
          <t>A</t>
        </is>
      </c>
      <c r="R31" s="3" t="inlineStr">
        <is>
          <t>4 + 3 = 7 và 9 − 2 = 7, hai bên bằng nhau.</t>
        </is>
      </c>
      <c r="S31" s="3" t="inlineStr">
        <is>
          <t>Tính bên trái: 4 + 3 = 7. Tính bên phải: 9 − 2 = 7. Hai bên đều bằng 7 nên đúng.</t>
        </is>
      </c>
      <c r="T31" s="22" t="n">
        <v>60</v>
      </c>
      <c r="U31" s="22">
        <f>INDEX(Khung_cap_do!$H$2:$H$6,F31)</f>
        <v/>
      </c>
      <c r="V31" s="22" t="n">
        <v>3</v>
      </c>
      <c r="W31" s="22" t="n">
        <v>8</v>
      </c>
      <c r="X31" s="3" t="inlineStr">
        <is>
          <t>T1.PT.02</t>
        </is>
      </c>
      <c r="Y31" s="3" t="inlineStr">
        <is>
          <t>TOAN.DUNGSAI</t>
        </is>
      </c>
      <c r="Z31" s="3" t="inlineStr">
        <is>
          <t>Soạn thêm</t>
        </is>
      </c>
      <c r="AA31" s="3" t="inlineStr"/>
      <c r="AB31" s="3" t="inlineStr">
        <is>
          <t>Đã học cộng, trừ trong phạm vi 10.</t>
        </is>
      </c>
      <c r="AC31" s="3" t="inlineStr">
        <is>
          <t>Chương trình GDPT 2018 – Toán 1; đối chiếu SGK Kết nối tri thức.</t>
        </is>
      </c>
      <c r="AD31" s="3" t="inlineStr">
        <is>
          <t>EduChain Kids soạn thêm (2026-10); bám chương trình GDPT 2018 và trình tự SGK đã chọn</t>
        </is>
      </c>
      <c r="AE31" s="3" t="inlineStr">
        <is>
          <t>Bản soạn mới — cần rà soát</t>
        </is>
      </c>
      <c r="AF31" s="3" t="inlineStr">
        <is>
          <t>Chờ giáo viên duyệt</t>
        </is>
      </c>
      <c r="AG31" s="3" t="n"/>
    </row>
    <row r="32">
      <c r="A32" s="3" t="inlineStr">
        <is>
          <t>EC1-063</t>
        </is>
      </c>
      <c r="B32" s="3" t="inlineStr">
        <is>
          <t>Toán</t>
        </is>
      </c>
      <c r="C32" s="22" t="n">
        <v>1</v>
      </c>
      <c r="D32" s="3" t="inlineStr">
        <is>
          <t>Sau khi học tính có hai dấu phép tính</t>
        </is>
      </c>
      <c r="E32" s="3" t="inlineStr">
        <is>
          <t>Toán có lời văn hai bước</t>
        </is>
      </c>
      <c r="F32" s="23" t="n">
        <v>4</v>
      </c>
      <c r="G32" s="3" t="inlineStr">
        <is>
          <t>Thử thách</t>
        </is>
      </c>
      <c r="H32" s="22" t="n"/>
      <c r="I32" s="3" t="n"/>
      <c r="J32" s="3" t="inlineStr">
        <is>
          <t>Điền đáp án</t>
        </is>
      </c>
      <c r="K32" s="3" t="inlineStr">
        <is>
          <t>Có 10 quả táo. Mẹ biếu bà 3 quả, cho bé 2 quả. Còn lại mấy quả?</t>
        </is>
      </c>
      <c r="L32" s="3" t="n"/>
      <c r="M32" s="3" t="n"/>
      <c r="N32" s="3" t="n"/>
      <c r="O32" s="3" t="n"/>
      <c r="P32" s="3" t="n"/>
      <c r="Q32" s="3" t="inlineStr">
        <is>
          <t>5 / năm</t>
        </is>
      </c>
      <c r="R32" s="3" t="inlineStr">
        <is>
          <t>10 − 3 − 2 = 5.</t>
        </is>
      </c>
      <c r="S32" s="3" t="inlineStr">
        <is>
          <t>Biếu bà 3 quả: 10 − 3 = 7. Cho bé 2 quả: 7 − 2 = 5. Còn lại 5 quả.</t>
        </is>
      </c>
      <c r="T32" s="22" t="n">
        <v>80</v>
      </c>
      <c r="U32" s="22">
        <f>INDEX(Khung_cap_do!$H$2:$H$6,F32)</f>
        <v/>
      </c>
      <c r="V32" s="22" t="n">
        <v>4</v>
      </c>
      <c r="W32" s="22" t="n">
        <v>7</v>
      </c>
      <c r="X32" s="3" t="inlineStr">
        <is>
          <t>T1.PT.06</t>
        </is>
      </c>
      <c r="Y32" s="3" t="inlineStr">
        <is>
          <t>TOAN.LOIVAN</t>
        </is>
      </c>
      <c r="Z32" s="3" t="inlineStr">
        <is>
          <t>Soạn thêm</t>
        </is>
      </c>
      <c r="AA32" s="3" t="inlineStr"/>
      <c r="AB32" s="3" t="inlineStr">
        <is>
          <t>Đã làm quen phép tính có hai dấu.</t>
        </is>
      </c>
      <c r="AC32" s="3" t="inlineStr">
        <is>
          <t>Chương trình GDPT 2018 – Toán 1; đối chiếu SGK Kết nối tri thức.</t>
        </is>
      </c>
      <c r="AD32" s="3" t="inlineStr">
        <is>
          <t>EduChain Kids soạn thêm (2026-10); bám chương trình GDPT 2018 và trình tự SGK đã chọn</t>
        </is>
      </c>
      <c r="AE32" s="3" t="inlineStr">
        <is>
          <t>Bản soạn mới — cần rà soát</t>
        </is>
      </c>
      <c r="AF32" s="3" t="inlineStr">
        <is>
          <t>Chờ giáo viên duyệt</t>
        </is>
      </c>
      <c r="AG32" s="3" t="n"/>
    </row>
    <row r="33">
      <c r="A33" s="3" t="inlineStr">
        <is>
          <t>EC1-064</t>
        </is>
      </c>
      <c r="B33" s="3" t="inlineStr">
        <is>
          <t>Toán</t>
        </is>
      </c>
      <c r="C33" s="22" t="n">
        <v>1</v>
      </c>
      <c r="D33" s="3" t="inlineStr">
        <is>
          <t>Sau khi học phép cộng trong phạm vi 10</t>
        </is>
      </c>
      <c r="E33" s="3" t="inlineStr">
        <is>
          <t>Lập phép tính</t>
        </is>
      </c>
      <c r="F33" s="23" t="n">
        <v>4</v>
      </c>
      <c r="G33" s="3" t="inlineStr">
        <is>
          <t>Thử thách</t>
        </is>
      </c>
      <c r="H33" s="22" t="n"/>
      <c r="I33" s="3" t="n"/>
      <c r="J33" s="3" t="inlineStr">
        <is>
          <t>Chọn đáp án</t>
        </is>
      </c>
      <c r="K33" s="3" t="inlineStr">
        <is>
          <t>Dùng 3 số 2, 5, 7 lập phép tính đúng.</t>
        </is>
      </c>
      <c r="L33" s="3" t="inlineStr">
        <is>
          <t>2 + 5 = 7</t>
        </is>
      </c>
      <c r="M33" s="3" t="inlineStr">
        <is>
          <t>5 + 7 = 2</t>
        </is>
      </c>
      <c r="N33" s="3" t="inlineStr">
        <is>
          <t>2 + 7 = 5</t>
        </is>
      </c>
      <c r="O33" s="3" t="n"/>
      <c r="P33" s="3" t="n"/>
      <c r="Q33" s="3" t="inlineStr">
        <is>
          <t>A</t>
        </is>
      </c>
      <c r="R33" s="3" t="inlineStr">
        <is>
          <t>2 + 5 = 7 là phép tính đúng.</t>
        </is>
      </c>
      <c r="S33" s="3" t="inlineStr">
        <is>
          <t>Thử từng phép: 2 + 5 = 7 đúng; 5 + 7 không bằng 2; 2 + 7 không bằng 5.</t>
        </is>
      </c>
      <c r="T33" s="22" t="n">
        <v>60</v>
      </c>
      <c r="U33" s="22">
        <f>INDEX(Khung_cap_do!$H$2:$H$6,F33)</f>
        <v/>
      </c>
      <c r="V33" s="22" t="n">
        <v>4</v>
      </c>
      <c r="W33" s="22" t="n">
        <v>8</v>
      </c>
      <c r="X33" s="3" t="inlineStr">
        <is>
          <t>T1.PT.02</t>
        </is>
      </c>
      <c r="Y33" s="3" t="inlineStr">
        <is>
          <t>TOAN.TINH</t>
        </is>
      </c>
      <c r="Z33" s="3" t="inlineStr">
        <is>
          <t>Soạn thêm</t>
        </is>
      </c>
      <c r="AA33" s="3" t="inlineStr"/>
      <c r="AB33" s="3" t="inlineStr">
        <is>
          <t>Đã học cộng trong phạm vi 10.</t>
        </is>
      </c>
      <c r="AC33" s="3" t="inlineStr">
        <is>
          <t>Chương trình GDPT 2018 – Toán 1; đối chiếu SGK Kết nối tri thức.</t>
        </is>
      </c>
      <c r="AD33" s="3" t="inlineStr">
        <is>
          <t>EduChain Kids soạn thêm (2026-10); bám chương trình GDPT 2018 và trình tự SGK đã chọn</t>
        </is>
      </c>
      <c r="AE33" s="3" t="inlineStr">
        <is>
          <t>Bản soạn mới — cần rà soát</t>
        </is>
      </c>
      <c r="AF33" s="3" t="inlineStr">
        <is>
          <t>Chờ giáo viên duyệt</t>
        </is>
      </c>
      <c r="AG33" s="3" t="n"/>
    </row>
    <row r="34">
      <c r="A34" s="3" t="inlineStr">
        <is>
          <t>EC1-013</t>
        </is>
      </c>
      <c r="B34" s="3" t="inlineStr">
        <is>
          <t>Toán</t>
        </is>
      </c>
      <c r="C34" s="22" t="n">
        <v>1</v>
      </c>
      <c r="D34" s="3" t="inlineStr">
        <is>
          <t>Sau khi học tách/gộp số</t>
        </is>
      </c>
      <c r="E34" s="3" t="inlineStr">
        <is>
          <t>Lập luận số</t>
        </is>
      </c>
      <c r="F34" s="23" t="n">
        <v>5</v>
      </c>
      <c r="G34" s="3" t="inlineStr">
        <is>
          <t>Mở rộng</t>
        </is>
      </c>
      <c r="H34" s="22" t="n"/>
      <c r="I34" s="3" t="n"/>
      <c r="J34" s="3" t="inlineStr">
        <is>
          <t>Trả lời ngắn</t>
        </is>
      </c>
      <c r="K34" s="3" t="inlineStr">
        <is>
          <t>Có 5 khối. Chia thành 2 nhóm, mỗi nhóm ít nhất 1 khối. Nêu một cách chia.</t>
        </is>
      </c>
      <c r="L34" s="3" t="n"/>
      <c r="M34" s="3" t="n"/>
      <c r="N34" s="3" t="n"/>
      <c r="O34" s="3" t="n"/>
      <c r="P34" s="3" t="n"/>
      <c r="Q34" s="3" t="inlineStr">
        <is>
          <t>Ví dụ: 1 và 4; 2 và 3.</t>
        </is>
      </c>
      <c r="R34" s="3" t="inlineStr">
        <is>
          <t>Chấp nhận mọi cách chia hợp lệ thành hai nhóm không rỗng.</t>
        </is>
      </c>
      <c r="S34" s="3" t="inlineStr">
        <is>
          <t>Hai nhóm gộp lại phải bằng 5: 1 + 4 = 5, 2 + 3 = 5. Còn 2 + 2 = 4 và 3 + 3 = 6 không đúng.</t>
        </is>
      </c>
      <c r="T34" s="22" t="n">
        <v>95</v>
      </c>
      <c r="U34" s="22">
        <f>INDEX(Khung_cap_do!$H$2:$H$6,F34)</f>
        <v/>
      </c>
      <c r="V34" s="22" t="n">
        <v>1</v>
      </c>
      <c r="W34" s="22" t="n">
        <v>9</v>
      </c>
      <c r="X34" s="3" t="inlineStr">
        <is>
          <t>T1.PT.01</t>
        </is>
      </c>
      <c r="Y34" s="3" t="inlineStr">
        <is>
          <t>TOAN.TINH</t>
        </is>
      </c>
      <c r="Z34" s="3" t="inlineStr">
        <is>
          <t>Bộ mẫu</t>
        </is>
      </c>
      <c r="AA34" s="3" t="inlineStr">
        <is>
          <t>[Chọn nhiều đáp án] Có 5 khối, chia thành 2 nhóm (mỗi nhóm ít nhất 1 khối). Chọn TẤT CẢ cách chia đúng.
A. 1 và 4 | B. 2 và 3 | C. 2 và 2 | D. 3 và 3
Đáp án: A, B
Ghi chú: Bản app chuyển câu trả lời mở thành "chọn tất cả cách chia đúng" để chấm tự động.</t>
        </is>
      </c>
      <c r="AB34" s="3" t="inlineStr">
        <is>
          <t>Đã học tách/gộp số.</t>
        </is>
      </c>
      <c r="AC34" s="3" t="inlineStr">
        <is>
          <t>Mở rộng nội bộ; cần rubric, không phải chuẩn chính thức.</t>
        </is>
      </c>
      <c r="AD34" s="3" t="inlineStr">
        <is>
          <t>Chương trình GDPT 2018 / kế hoạch dạy học của trường; đối chiếu văn bản hiện hành</t>
        </is>
      </c>
      <c r="AE34" s="3" t="inlineStr">
        <is>
          <t>Bản mẫu — cần rà soát</t>
        </is>
      </c>
      <c r="AF34" s="3" t="inlineStr">
        <is>
          <t>Chờ giáo viên duyệt</t>
        </is>
      </c>
      <c r="AG34" s="3" t="n"/>
    </row>
    <row r="35">
      <c r="A35" s="3" t="inlineStr">
        <is>
          <t>EC1-014</t>
        </is>
      </c>
      <c r="B35" s="3" t="inlineStr">
        <is>
          <t>Toán</t>
        </is>
      </c>
      <c r="C35" s="22" t="n">
        <v>1</v>
      </c>
      <c r="D35" s="3" t="inlineStr">
        <is>
          <t>Sau khi học quan hệ số lượng</t>
        </is>
      </c>
      <c r="E35" s="3" t="inlineStr">
        <is>
          <t>Chọn chiến lược</t>
        </is>
      </c>
      <c r="F35" s="23" t="n">
        <v>5</v>
      </c>
      <c r="G35" s="3" t="inlineStr">
        <is>
          <t>Mở rộng</t>
        </is>
      </c>
      <c r="H35" s="22" t="n"/>
      <c r="I35" s="3" t="n"/>
      <c r="J35" s="3" t="inlineStr">
        <is>
          <t>Trả lời ngắn</t>
        </is>
      </c>
      <c r="K35" s="3" t="inlineStr">
        <is>
          <t>Có 4 chiếc cốc và 3 bông hoa. Còn thiếu mấy bông để mỗi cốc có một bông?</t>
        </is>
      </c>
      <c r="L35" s="3" t="n"/>
      <c r="M35" s="3" t="n"/>
      <c r="N35" s="3" t="n"/>
      <c r="O35" s="3" t="n"/>
      <c r="P35" s="3" t="n"/>
      <c r="Q35" s="3" t="inlineStr">
        <is>
          <t>1</t>
        </is>
      </c>
      <c r="R35" s="3" t="inlineStr">
        <is>
          <t>4 − 3 = 1; còn thiếu 1 bông.</t>
        </is>
      </c>
      <c r="S35" s="3" t="inlineStr">
        <is>
          <t>Cắm mỗi cốc một bông: 3 bông cắm được 3 cốc, còn 1 cốc chưa có hoa. 4 − 3 = 1.</t>
        </is>
      </c>
      <c r="T35" s="22" t="n">
        <v>95</v>
      </c>
      <c r="U35" s="22">
        <f>INDEX(Khung_cap_do!$H$2:$H$6,F35)</f>
        <v/>
      </c>
      <c r="V35" s="22" t="n">
        <v>1</v>
      </c>
      <c r="W35" s="22" t="n">
        <v>10</v>
      </c>
      <c r="X35" s="3" t="inlineStr">
        <is>
          <t>T1.PT.03</t>
        </is>
      </c>
      <c r="Y35" s="3" t="inlineStr">
        <is>
          <t>TOAN.LOIVAN</t>
        </is>
      </c>
      <c r="Z35" s="3" t="inlineStr">
        <is>
          <t>Bộ mẫu</t>
        </is>
      </c>
      <c r="AA35" s="3" t="inlineStr">
        <is>
          <t>[Điền đáp án] Có 4 chiếc cốc và 3 bông hoa. Còn thiếu mấy bông để mỗi cốc có một bông?
Đáp án: 1 / một
Ghi chú: Bản app chấm theo dạng điền số (chấp nhận "1" hoặc "một").</t>
        </is>
      </c>
      <c r="AB35" s="3" t="inlineStr">
        <is>
          <t>Đã học đếm và quan hệ số lượng tương ứng.</t>
        </is>
      </c>
      <c r="AC35" s="3" t="inlineStr">
        <is>
          <t>Tình huống mở rộng trên kiến thức đã học.</t>
        </is>
      </c>
      <c r="AD35" s="3" t="inlineStr">
        <is>
          <t>Chương trình GDPT 2018 / kế hoạch dạy học của trường; đối chiếu văn bản hiện hành</t>
        </is>
      </c>
      <c r="AE35" s="3" t="inlineStr">
        <is>
          <t>Bản mẫu — cần rà soát</t>
        </is>
      </c>
      <c r="AF35" s="3" t="inlineStr">
        <is>
          <t>Chờ giáo viên duyệt</t>
        </is>
      </c>
      <c r="AG35" s="3" t="n"/>
    </row>
    <row r="36">
      <c r="A36" s="3" t="inlineStr">
        <is>
          <t>EC1-065</t>
        </is>
      </c>
      <c r="B36" s="3" t="inlineStr">
        <is>
          <t>Toán</t>
        </is>
      </c>
      <c r="C36" s="22" t="n">
        <v>1</v>
      </c>
      <c r="D36" s="3" t="inlineStr">
        <is>
          <t>Sau khi học tách, gộp số</t>
        </is>
      </c>
      <c r="E36" s="3" t="inlineStr">
        <is>
          <t>Tách – gộp số</t>
        </is>
      </c>
      <c r="F36" s="23" t="n">
        <v>5</v>
      </c>
      <c r="G36" s="3" t="inlineStr">
        <is>
          <t>Mở rộng</t>
        </is>
      </c>
      <c r="H36" s="22" t="n"/>
      <c r="I36" s="3" t="n"/>
      <c r="J36" s="3" t="inlineStr">
        <is>
          <t>Chọn nhiều đáp án</t>
        </is>
      </c>
      <c r="K36" s="3" t="inlineStr">
        <is>
          <t>Chọn TẤT CẢ cặp số cộng lại bằng 7.</t>
        </is>
      </c>
      <c r="L36" s="3" t="inlineStr">
        <is>
          <t>1 và 6</t>
        </is>
      </c>
      <c r="M36" s="3" t="inlineStr">
        <is>
          <t>2 và 5</t>
        </is>
      </c>
      <c r="N36" s="3" t="inlineStr">
        <is>
          <t>3 và 3</t>
        </is>
      </c>
      <c r="O36" s="3" t="inlineStr">
        <is>
          <t>4 và 3</t>
        </is>
      </c>
      <c r="P36" s="3" t="n"/>
      <c r="Q36" s="3" t="inlineStr">
        <is>
          <t>A, B, D</t>
        </is>
      </c>
      <c r="R36" s="3" t="inlineStr">
        <is>
          <t>1 + 6 = 7; 2 + 5 = 7; 4 + 3 = 7; còn 3 + 3 = 6.</t>
        </is>
      </c>
      <c r="S36" s="3" t="inlineStr">
        <is>
          <t>Cộng từng cặp: 1 + 6 = 7, 2 + 5 = 7, 3 + 3 = 6, 4 + 3 = 7.</t>
        </is>
      </c>
      <c r="T36" s="22" t="n">
        <v>85</v>
      </c>
      <c r="U36" s="22">
        <f>INDEX(Khung_cap_do!$H$2:$H$6,F36)</f>
        <v/>
      </c>
      <c r="V36" s="22" t="n">
        <v>2</v>
      </c>
      <c r="W36" s="22" t="n">
        <v>9</v>
      </c>
      <c r="X36" s="3" t="inlineStr">
        <is>
          <t>T1.PT.02</t>
        </is>
      </c>
      <c r="Y36" s="3" t="inlineStr">
        <is>
          <t>TOAN.TINH</t>
        </is>
      </c>
      <c r="Z36" s="3" t="inlineStr">
        <is>
          <t>Soạn thêm</t>
        </is>
      </c>
      <c r="AA36" s="3" t="inlineStr"/>
      <c r="AB36" s="3" t="inlineStr">
        <is>
          <t>Đã học cộng trong phạm vi 10.</t>
        </is>
      </c>
      <c r="AC36" s="3" t="inlineStr">
        <is>
          <t>Chương trình GDPT 2018 – Toán 1; đối chiếu SGK Kết nối tri thức.</t>
        </is>
      </c>
      <c r="AD36" s="3" t="inlineStr">
        <is>
          <t>EduChain Kids soạn thêm (2026-10); bám chương trình GDPT 2018 và trình tự SGK đã chọn</t>
        </is>
      </c>
      <c r="AE36" s="3" t="inlineStr">
        <is>
          <t>Bản soạn mới — cần rà soát</t>
        </is>
      </c>
      <c r="AF36" s="3" t="inlineStr">
        <is>
          <t>Chờ giáo viên duyệt</t>
        </is>
      </c>
      <c r="AG36" s="3" t="n"/>
    </row>
    <row r="37">
      <c r="A37" s="3" t="inlineStr">
        <is>
          <t>EC1-066</t>
        </is>
      </c>
      <c r="B37" s="3" t="inlineStr">
        <is>
          <t>Toán</t>
        </is>
      </c>
      <c r="C37" s="22" t="n">
        <v>1</v>
      </c>
      <c r="D37" s="3" t="inlineStr">
        <is>
          <t>Sau khi học cộng, trừ trong phạm vi 10</t>
        </is>
      </c>
      <c r="E37" s="3" t="inlineStr">
        <is>
          <t>Lập luận số</t>
        </is>
      </c>
      <c r="F37" s="23" t="n">
        <v>5</v>
      </c>
      <c r="G37" s="3" t="inlineStr">
        <is>
          <t>Mở rộng</t>
        </is>
      </c>
      <c r="H37" s="22" t="n"/>
      <c r="I37" s="3" t="n"/>
      <c r="J37" s="3" t="inlineStr">
        <is>
          <t>Điền đáp án</t>
        </is>
      </c>
      <c r="K37" s="3" t="inlineStr">
        <is>
          <t>Nam nghĩ một số. Lấy số đó cộng 3 thì được 9. Nam nghĩ số mấy?</t>
        </is>
      </c>
      <c r="L37" s="3" t="n"/>
      <c r="M37" s="3" t="n"/>
      <c r="N37" s="3" t="n"/>
      <c r="O37" s="3" t="n"/>
      <c r="P37" s="3" t="n"/>
      <c r="Q37" s="3" t="inlineStr">
        <is>
          <t>6 / sáu</t>
        </is>
      </c>
      <c r="R37" s="3" t="inlineStr">
        <is>
          <t>6 + 3 = 9.</t>
        </is>
      </c>
      <c r="S37" s="3" t="inlineStr">
        <is>
          <t>Ta cần số ... + 3 = 9. Lấy 9 − 3 = 6. Thử lại: 6 + 3 = 9.</t>
        </is>
      </c>
      <c r="T37" s="22" t="n">
        <v>95</v>
      </c>
      <c r="U37" s="22">
        <f>INDEX(Khung_cap_do!$H$2:$H$6,F37)</f>
        <v/>
      </c>
      <c r="V37" s="22" t="n">
        <v>2</v>
      </c>
      <c r="W37" s="22" t="n">
        <v>10</v>
      </c>
      <c r="X37" s="3" t="inlineStr">
        <is>
          <t>T1.PT.02</t>
        </is>
      </c>
      <c r="Y37" s="3" t="inlineStr">
        <is>
          <t>TOAN.SOTHIEU</t>
        </is>
      </c>
      <c r="Z37" s="3" t="inlineStr">
        <is>
          <t>Soạn thêm</t>
        </is>
      </c>
      <c r="AA37" s="3" t="inlineStr"/>
      <c r="AB37" s="3" t="inlineStr">
        <is>
          <t>Đã học quan hệ cộng – trừ.</t>
        </is>
      </c>
      <c r="AC37" s="3" t="inlineStr">
        <is>
          <t>Chương trình GDPT 2018 – Toán 1; đối chiếu SGK Kết nối tri thức.</t>
        </is>
      </c>
      <c r="AD37" s="3" t="inlineStr">
        <is>
          <t>EduChain Kids soạn thêm (2026-10); bám chương trình GDPT 2018 và trình tự SGK đã chọn</t>
        </is>
      </c>
      <c r="AE37" s="3" t="inlineStr">
        <is>
          <t>Bản soạn mới — cần rà soát</t>
        </is>
      </c>
      <c r="AF37" s="3" t="inlineStr">
        <is>
          <t>Chờ giáo viên duyệt</t>
        </is>
      </c>
      <c r="AG37" s="3" t="n"/>
    </row>
    <row r="38">
      <c r="A38" s="3" t="inlineStr">
        <is>
          <t>EC1-067</t>
        </is>
      </c>
      <c r="B38" s="3" t="inlineStr">
        <is>
          <t>Toán</t>
        </is>
      </c>
      <c r="C38" s="22" t="n">
        <v>1</v>
      </c>
      <c r="D38" s="3" t="inlineStr">
        <is>
          <t>Sau khi học vị trí trước – sau</t>
        </is>
      </c>
      <c r="E38" s="3" t="inlineStr">
        <is>
          <t>Vị trí, thứ tự</t>
        </is>
      </c>
      <c r="F38" s="23" t="n">
        <v>5</v>
      </c>
      <c r="G38" s="3" t="inlineStr">
        <is>
          <t>Mở rộng</t>
        </is>
      </c>
      <c r="H38" s="22" t="n"/>
      <c r="I38" s="3" t="n"/>
      <c r="J38" s="3" t="inlineStr">
        <is>
          <t>Chọn đáp án</t>
        </is>
      </c>
      <c r="K38" s="3" t="inlineStr">
        <is>
          <t>Có 6 bạn xếp hàng. Mai đứng thứ 2 tính từ đầu hàng. Sau Mai có mấy bạn?</t>
        </is>
      </c>
      <c r="L38" s="3" t="inlineStr">
        <is>
          <t>3</t>
        </is>
      </c>
      <c r="M38" s="3" t="inlineStr">
        <is>
          <t>4</t>
        </is>
      </c>
      <c r="N38" s="3" t="inlineStr">
        <is>
          <t>5</t>
        </is>
      </c>
      <c r="O38" s="3" t="n"/>
      <c r="P38" s="3" t="n"/>
      <c r="Q38" s="3" t="inlineStr">
        <is>
          <t>B</t>
        </is>
      </c>
      <c r="R38" s="3" t="inlineStr">
        <is>
          <t>Trước Mai có 1 bạn, Mai là 1 bạn: 6 − 2 = 4.</t>
        </is>
      </c>
      <c r="S38" s="3" t="inlineStr">
        <is>
          <t>Tính từ đầu hàng có bạn thứ nhất và Mai là 2 bạn. Còn lại 6 − 2 = 4 bạn đứng sau Mai.</t>
        </is>
      </c>
      <c r="T38" s="22" t="n">
        <v>85</v>
      </c>
      <c r="U38" s="22">
        <f>INDEX(Khung_cap_do!$H$2:$H$6,F38)</f>
        <v/>
      </c>
      <c r="V38" s="22" t="n">
        <v>3</v>
      </c>
      <c r="W38" s="22" t="n">
        <v>9</v>
      </c>
      <c r="X38" s="3" t="inlineStr">
        <is>
          <t>T1.HH.01</t>
        </is>
      </c>
      <c r="Y38" s="3" t="inlineStr">
        <is>
          <t>TOAN.LOIVAN</t>
        </is>
      </c>
      <c r="Z38" s="3" t="inlineStr">
        <is>
          <t>Soạn thêm</t>
        </is>
      </c>
      <c r="AA38" s="3" t="inlineStr"/>
      <c r="AB38" s="3" t="inlineStr">
        <is>
          <t>Đã học trước – sau và trừ trong phạm vi 10.</t>
        </is>
      </c>
      <c r="AC38" s="3" t="inlineStr">
        <is>
          <t>Chương trình GDPT 2018 – Toán 1; đối chiếu SGK Kết nối tri thức.</t>
        </is>
      </c>
      <c r="AD38" s="3" t="inlineStr">
        <is>
          <t>EduChain Kids soạn thêm (2026-10); bám chương trình GDPT 2018 và trình tự SGK đã chọn</t>
        </is>
      </c>
      <c r="AE38" s="3" t="inlineStr">
        <is>
          <t>Bản soạn mới — cần rà soát</t>
        </is>
      </c>
      <c r="AF38" s="3" t="inlineStr">
        <is>
          <t>Chờ giáo viên duyệt</t>
        </is>
      </c>
      <c r="AG38" s="3" t="n"/>
    </row>
    <row r="39">
      <c r="A39" s="3" t="inlineStr">
        <is>
          <t>EC1-068</t>
        </is>
      </c>
      <c r="B39" s="3" t="inlineStr">
        <is>
          <t>Toán</t>
        </is>
      </c>
      <c r="C39" s="22" t="n">
        <v>1</v>
      </c>
      <c r="D39" s="3" t="inlineStr">
        <is>
          <t>Sau khi học cộng, trừ trong phạm vi 10</t>
        </is>
      </c>
      <c r="E39" s="3" t="inlineStr">
        <is>
          <t>Tìm số còn thiếu</t>
        </is>
      </c>
      <c r="F39" s="23" t="n">
        <v>5</v>
      </c>
      <c r="G39" s="3" t="inlineStr">
        <is>
          <t>Mở rộng</t>
        </is>
      </c>
      <c r="H39" s="22" t="n"/>
      <c r="I39" s="3" t="n"/>
      <c r="J39" s="3" t="inlineStr">
        <is>
          <t>Điền đáp án</t>
        </is>
      </c>
      <c r="K39" s="3" t="inlineStr">
        <is>
          <t>Điền số: 10 − ... = 4 + 2</t>
        </is>
      </c>
      <c r="L39" s="3" t="n"/>
      <c r="M39" s="3" t="n"/>
      <c r="N39" s="3" t="n"/>
      <c r="O39" s="3" t="n"/>
      <c r="P39" s="3" t="n"/>
      <c r="Q39" s="3" t="inlineStr">
        <is>
          <t>4 / bốn</t>
        </is>
      </c>
      <c r="R39" s="3" t="inlineStr">
        <is>
          <t>4 + 2 = 6 và 10 − 4 = 6.</t>
        </is>
      </c>
      <c r="S39" s="3" t="inlineStr">
        <is>
          <t>Tính bên phải: 4 + 2 = 6. Cần 10 − ... = 6. Lấy 10 − 6 = 4.</t>
        </is>
      </c>
      <c r="T39" s="22" t="n">
        <v>85</v>
      </c>
      <c r="U39" s="22">
        <f>INDEX(Khung_cap_do!$H$2:$H$6,F39)</f>
        <v/>
      </c>
      <c r="V39" s="22" t="n">
        <v>3</v>
      </c>
      <c r="W39" s="22" t="n">
        <v>10</v>
      </c>
      <c r="X39" s="3" t="inlineStr">
        <is>
          <t>T1.PT.06</t>
        </is>
      </c>
      <c r="Y39" s="3" t="inlineStr">
        <is>
          <t>TOAN.SOTHIEU</t>
        </is>
      </c>
      <c r="Z39" s="3" t="inlineStr">
        <is>
          <t>Soạn thêm</t>
        </is>
      </c>
      <c r="AA39" s="3" t="inlineStr"/>
      <c r="AB39" s="3" t="inlineStr">
        <is>
          <t>Đã học cộng, trừ trong phạm vi 10.</t>
        </is>
      </c>
      <c r="AC39" s="3" t="inlineStr">
        <is>
          <t>Chương trình GDPT 2018 – Toán 1; đối chiếu SGK Kết nối tri thức.</t>
        </is>
      </c>
      <c r="AD39" s="3" t="inlineStr">
        <is>
          <t>EduChain Kids soạn thêm (2026-10); bám chương trình GDPT 2018 và trình tự SGK đã chọn</t>
        </is>
      </c>
      <c r="AE39" s="3" t="inlineStr">
        <is>
          <t>Bản soạn mới — cần rà soát</t>
        </is>
      </c>
      <c r="AF39" s="3" t="inlineStr">
        <is>
          <t>Chờ giáo viên duyệt</t>
        </is>
      </c>
      <c r="AG39" s="3" t="n"/>
    </row>
    <row r="40">
      <c r="A40" s="3" t="inlineStr">
        <is>
          <t>EC1-069</t>
        </is>
      </c>
      <c r="B40" s="3" t="inlineStr">
        <is>
          <t>Toán</t>
        </is>
      </c>
      <c r="C40" s="22" t="n">
        <v>1</v>
      </c>
      <c r="D40" s="3" t="inlineStr">
        <is>
          <t>Sau khi học cộng, trừ và so sánh số</t>
        </is>
      </c>
      <c r="E40" s="3" t="inlineStr">
        <is>
          <t>Tính rồi so sánh</t>
        </is>
      </c>
      <c r="F40" s="23" t="n">
        <v>5</v>
      </c>
      <c r="G40" s="3" t="inlineStr">
        <is>
          <t>Mở rộng</t>
        </is>
      </c>
      <c r="H40" s="22" t="n"/>
      <c r="I40" s="3" t="n"/>
      <c r="J40" s="3" t="inlineStr">
        <is>
          <t>Sắp xếp</t>
        </is>
      </c>
      <c r="K40" s="3" t="inlineStr">
        <is>
          <t>Xếp các phép tính theo kết quả từ bé đến lớn.
(Các mục: 1 + 2 / 3 + 2 / 5 − 4 / 9 − 1)</t>
        </is>
      </c>
      <c r="L40" s="3" t="n"/>
      <c r="M40" s="3" t="n"/>
      <c r="N40" s="3" t="n"/>
      <c r="O40" s="3" t="n"/>
      <c r="P40" s="3" t="n"/>
      <c r="Q40" s="3" t="inlineStr">
        <is>
          <t>5 − 4 → 1 + 2 → 3 + 2 → 9 − 1</t>
        </is>
      </c>
      <c r="R40" s="3" t="inlineStr">
        <is>
          <t>Kết quả lần lượt 1, 3, 5, 8.</t>
        </is>
      </c>
      <c r="S40" s="3" t="inlineStr">
        <is>
          <t>Tính trước: 5 − 4 = 1; 1 + 2 = 3; 3 + 2 = 5; 9 − 1 = 8. Xếp 1, 3, 5, 8.</t>
        </is>
      </c>
      <c r="T40" s="22" t="n">
        <v>90</v>
      </c>
      <c r="U40" s="22">
        <f>INDEX(Khung_cap_do!$H$2:$H$6,F40)</f>
        <v/>
      </c>
      <c r="V40" s="22" t="n">
        <v>4</v>
      </c>
      <c r="W40" s="22" t="n">
        <v>9</v>
      </c>
      <c r="X40" s="3" t="inlineStr">
        <is>
          <t>T1.SO.02</t>
        </is>
      </c>
      <c r="Y40" s="3" t="inlineStr">
        <is>
          <t>TOAN.SAPXEP</t>
        </is>
      </c>
      <c r="Z40" s="3" t="inlineStr">
        <is>
          <t>Soạn thêm</t>
        </is>
      </c>
      <c r="AA40" s="3" t="inlineStr"/>
      <c r="AB40" s="3" t="inlineStr">
        <is>
          <t>Đã học cộng, trừ, so sánh trong phạm vi 10.</t>
        </is>
      </c>
      <c r="AC40" s="3" t="inlineStr">
        <is>
          <t>Chương trình GDPT 2018 – Toán 1; đối chiếu SGK Kết nối tri thức.</t>
        </is>
      </c>
      <c r="AD40" s="3" t="inlineStr">
        <is>
          <t>EduChain Kids soạn thêm (2026-10); bám chương trình GDPT 2018 và trình tự SGK đã chọn</t>
        </is>
      </c>
      <c r="AE40" s="3" t="inlineStr">
        <is>
          <t>Bản soạn mới — cần rà soát</t>
        </is>
      </c>
      <c r="AF40" s="3" t="inlineStr">
        <is>
          <t>Chờ giáo viên duyệt</t>
        </is>
      </c>
      <c r="AG40" s="3" t="n"/>
    </row>
    <row r="41">
      <c r="A41" s="3" t="inlineStr">
        <is>
          <t>EC1-070</t>
        </is>
      </c>
      <c r="B41" s="3" t="inlineStr">
        <is>
          <t>Toán</t>
        </is>
      </c>
      <c r="C41" s="22" t="n">
        <v>1</v>
      </c>
      <c r="D41" s="3" t="inlineStr">
        <is>
          <t>Sau khi học tính có hai dấu phép tính</t>
        </is>
      </c>
      <c r="E41" s="3" t="inlineStr">
        <is>
          <t>Giải quyết vấn đề</t>
        </is>
      </c>
      <c r="F41" s="23" t="n">
        <v>5</v>
      </c>
      <c r="G41" s="3" t="inlineStr">
        <is>
          <t>Mở rộng</t>
        </is>
      </c>
      <c r="H41" s="22" t="n"/>
      <c r="I41" s="3" t="n"/>
      <c r="J41" s="3" t="inlineStr">
        <is>
          <t>Đúng / Sai</t>
        </is>
      </c>
      <c r="K41" s="3" t="inlineStr">
        <is>
          <t>Một con gà có 2 chân. 3 con gà có tất cả 6 chân.</t>
        </is>
      </c>
      <c r="L41" s="3" t="inlineStr">
        <is>
          <t>Đúng</t>
        </is>
      </c>
      <c r="M41" s="3" t="inlineStr">
        <is>
          <t>Sai</t>
        </is>
      </c>
      <c r="N41" s="3" t="n"/>
      <c r="O41" s="3" t="n"/>
      <c r="P41" s="3" t="n"/>
      <c r="Q41" s="3" t="inlineStr">
        <is>
          <t>A</t>
        </is>
      </c>
      <c r="R41" s="3" t="inlineStr">
        <is>
          <t>2 + 2 + 2 = 6.</t>
        </is>
      </c>
      <c r="S41" s="3" t="inlineStr">
        <is>
          <t>Mỗi con 2 chân, 3 con: 2 + 2 + 2 = 6 chân. Câu đúng.</t>
        </is>
      </c>
      <c r="T41" s="22" t="n">
        <v>75</v>
      </c>
      <c r="U41" s="22">
        <f>INDEX(Khung_cap_do!$H$2:$H$6,F41)</f>
        <v/>
      </c>
      <c r="V41" s="22" t="n">
        <v>4</v>
      </c>
      <c r="W41" s="22" t="n">
        <v>10</v>
      </c>
      <c r="X41" s="3" t="inlineStr">
        <is>
          <t>T1.PT.03</t>
        </is>
      </c>
      <c r="Y41" s="3" t="inlineStr">
        <is>
          <t>TOAN.DUNGSAI</t>
        </is>
      </c>
      <c r="Z41" s="3" t="inlineStr">
        <is>
          <t>Soạn thêm</t>
        </is>
      </c>
      <c r="AA41" s="3" t="inlineStr"/>
      <c r="AB41" s="3" t="inlineStr">
        <is>
          <t>Đã làm quen phép tính có hai dấu.</t>
        </is>
      </c>
      <c r="AC41" s="3" t="inlineStr">
        <is>
          <t>Chương trình GDPT 2018 – Toán 1; đối chiếu SGK Kết nối tri thức.</t>
        </is>
      </c>
      <c r="AD41" s="3" t="inlineStr">
        <is>
          <t>EduChain Kids soạn thêm (2026-10); bám chương trình GDPT 2018 và trình tự SGK đã chọn</t>
        </is>
      </c>
      <c r="AE41" s="3" t="inlineStr">
        <is>
          <t>Bản soạn mới — cần rà soát</t>
        </is>
      </c>
      <c r="AF41" s="3" t="inlineStr">
        <is>
          <t>Chờ giáo viên duyệt</t>
        </is>
      </c>
      <c r="AG41" s="3" t="n"/>
    </row>
    <row r="42">
      <c r="A42" s="3" t="inlineStr">
        <is>
          <t>EC1-016</t>
        </is>
      </c>
      <c r="B42" s="3" t="inlineStr">
        <is>
          <t>Tiếng Việt</t>
        </is>
      </c>
      <c r="C42" s="22" t="n">
        <v>1</v>
      </c>
      <c r="D42" s="3" t="inlineStr">
        <is>
          <t>Sau khi học chữ tương ứng</t>
        </is>
      </c>
      <c r="E42" s="3" t="inlineStr">
        <is>
          <t>Nhận diện chữ</t>
        </is>
      </c>
      <c r="F42" s="23" t="n">
        <v>1</v>
      </c>
      <c r="G42" s="3" t="inlineStr">
        <is>
          <t>Làm quen</t>
        </is>
      </c>
      <c r="H42" s="22" t="n"/>
      <c r="I42" s="3" t="n"/>
      <c r="J42" s="3" t="inlineStr">
        <is>
          <t>Chọn đáp án</t>
        </is>
      </c>
      <c r="K42" s="3" t="inlineStr">
        <is>
          <t>Chọn chữ a.</t>
        </is>
      </c>
      <c r="L42" s="3" t="inlineStr">
        <is>
          <t>a</t>
        </is>
      </c>
      <c r="M42" s="3" t="inlineStr">
        <is>
          <t>o</t>
        </is>
      </c>
      <c r="N42" s="3" t="inlineStr">
        <is>
          <t>e</t>
        </is>
      </c>
      <c r="O42" s="3" t="n"/>
      <c r="P42" s="3" t="n"/>
      <c r="Q42" s="3" t="inlineStr">
        <is>
          <t>A</t>
        </is>
      </c>
      <c r="R42" s="3" t="inlineStr">
        <is>
          <t>Chữ cần tìm là a.</t>
        </is>
      </c>
      <c r="S42" s="3" t="n"/>
      <c r="T42" s="22" t="n">
        <v>30</v>
      </c>
      <c r="U42" s="22">
        <f>INDEX(Khung_cap_do!$H$2:$H$6,F42)</f>
        <v/>
      </c>
      <c r="V42" s="22" t="n">
        <v>1</v>
      </c>
      <c r="W42" s="22" t="n">
        <v>1</v>
      </c>
      <c r="X42" s="3" t="inlineStr">
        <is>
          <t>V1.AM.01</t>
        </is>
      </c>
      <c r="Y42" s="3" t="inlineStr">
        <is>
          <t>TV.AMCHU</t>
        </is>
      </c>
      <c r="Z42" s="3" t="inlineStr">
        <is>
          <t>Bộ mẫu</t>
        </is>
      </c>
      <c r="AA42" s="3" t="inlineStr"/>
      <c r="AB42" s="3" t="inlineStr">
        <is>
          <t>Chữ a đã được dạy.</t>
        </is>
      </c>
      <c r="AC42" s="3" t="inlineStr">
        <is>
          <t>Gắn với tiến trình âm/chữ thực tế.</t>
        </is>
      </c>
      <c r="AD42" s="3" t="inlineStr">
        <is>
          <t>Chương trình GDPT 2018 / kế hoạch dạy học của trường; đối chiếu văn bản hiện hành</t>
        </is>
      </c>
      <c r="AE42" s="3" t="inlineStr">
        <is>
          <t>Bản mẫu — cần rà soát</t>
        </is>
      </c>
      <c r="AF42" s="3" t="inlineStr">
        <is>
          <t>Chờ giáo viên duyệt</t>
        </is>
      </c>
      <c r="AG42" s="3" t="n"/>
    </row>
    <row r="43">
      <c r="A43" s="3" t="inlineStr">
        <is>
          <t>EC1-017</t>
        </is>
      </c>
      <c r="B43" s="3" t="inlineStr">
        <is>
          <t>Tiếng Việt</t>
        </is>
      </c>
      <c r="C43" s="22" t="n">
        <v>1</v>
      </c>
      <c r="D43" s="3" t="inlineStr">
        <is>
          <t>Sau khi học chữ tương ứng</t>
        </is>
      </c>
      <c r="E43" s="3" t="inlineStr">
        <is>
          <t>Chữ đầu từ</t>
        </is>
      </c>
      <c r="F43" s="23" t="n">
        <v>1</v>
      </c>
      <c r="G43" s="3" t="inlineStr">
        <is>
          <t>Làm quen</t>
        </is>
      </c>
      <c r="H43" s="22" t="n"/>
      <c r="I43" s="3" t="n"/>
      <c r="J43" s="3" t="inlineStr">
        <is>
          <t>Chọn đáp án</t>
        </is>
      </c>
      <c r="K43" s="3" t="inlineStr">
        <is>
          <t>Từ nào bắt đầu bằng chữ b?</t>
        </is>
      </c>
      <c r="L43" s="3" t="inlineStr">
        <is>
          <t>bò</t>
        </is>
      </c>
      <c r="M43" s="3" t="inlineStr">
        <is>
          <t>cá</t>
        </is>
      </c>
      <c r="N43" s="3" t="inlineStr">
        <is>
          <t>gà</t>
        </is>
      </c>
      <c r="O43" s="3" t="n"/>
      <c r="P43" s="3" t="n"/>
      <c r="Q43" s="3" t="inlineStr">
        <is>
          <t>A</t>
        </is>
      </c>
      <c r="R43" s="3" t="inlineStr">
        <is>
          <t>“Bò” bắt đầu bằng chữ b.</t>
        </is>
      </c>
      <c r="S43" s="3" t="n"/>
      <c r="T43" s="22" t="n">
        <v>30</v>
      </c>
      <c r="U43" s="22">
        <f>INDEX(Khung_cap_do!$H$2:$H$6,F43)</f>
        <v/>
      </c>
      <c r="V43" s="22" t="n">
        <v>1</v>
      </c>
      <c r="W43" s="22" t="n">
        <v>2</v>
      </c>
      <c r="X43" s="3" t="inlineStr">
        <is>
          <t>V1.AM.01</t>
        </is>
      </c>
      <c r="Y43" s="3" t="inlineStr">
        <is>
          <t>TV.AMCHU</t>
        </is>
      </c>
      <c r="Z43" s="3" t="inlineStr">
        <is>
          <t>Bộ mẫu</t>
        </is>
      </c>
      <c r="AA43" s="3" t="inlineStr"/>
      <c r="AB43" s="3" t="inlineStr">
        <is>
          <t>Chữ b và các từ lựa chọn đã được học.</t>
        </is>
      </c>
      <c r="AC43" s="3" t="inlineStr">
        <is>
          <t>Rà soát từ vựng theo SGK.</t>
        </is>
      </c>
      <c r="AD43" s="3" t="inlineStr">
        <is>
          <t>Chương trình GDPT 2018 / kế hoạch dạy học của trường; đối chiếu văn bản hiện hành</t>
        </is>
      </c>
      <c r="AE43" s="3" t="inlineStr">
        <is>
          <t>Bản mẫu — cần rà soát</t>
        </is>
      </c>
      <c r="AF43" s="3" t="inlineStr">
        <is>
          <t>Chờ giáo viên duyệt</t>
        </is>
      </c>
      <c r="AG43" s="3" t="n"/>
    </row>
    <row r="44">
      <c r="A44" s="3" t="inlineStr">
        <is>
          <t>EC1-018</t>
        </is>
      </c>
      <c r="B44" s="3" t="inlineStr">
        <is>
          <t>Tiếng Việt</t>
        </is>
      </c>
      <c r="C44" s="22" t="n">
        <v>1</v>
      </c>
      <c r="D44" s="3" t="inlineStr">
        <is>
          <t>Sau khi học dấu sắc</t>
        </is>
      </c>
      <c r="E44" s="3" t="inlineStr">
        <is>
          <t>Thanh điệu</t>
        </is>
      </c>
      <c r="F44" s="23" t="n">
        <v>1</v>
      </c>
      <c r="G44" s="3" t="inlineStr">
        <is>
          <t>Làm quen</t>
        </is>
      </c>
      <c r="H44" s="22" t="n"/>
      <c r="I44" s="3" t="n"/>
      <c r="J44" s="3" t="inlineStr">
        <is>
          <t>Chọn đáp án</t>
        </is>
      </c>
      <c r="K44" s="3" t="inlineStr">
        <is>
          <t>Chọn tiếng có dấu sắc.</t>
        </is>
      </c>
      <c r="L44" s="3" t="inlineStr">
        <is>
          <t>bé</t>
        </is>
      </c>
      <c r="M44" s="3" t="inlineStr">
        <is>
          <t>ba</t>
        </is>
      </c>
      <c r="N44" s="3" t="inlineStr">
        <is>
          <t>bà</t>
        </is>
      </c>
      <c r="O44" s="3" t="n"/>
      <c r="P44" s="3" t="n"/>
      <c r="Q44" s="3" t="inlineStr">
        <is>
          <t>A</t>
        </is>
      </c>
      <c r="R44" s="3" t="inlineStr">
        <is>
          <t>“Bé” mang dấu sắc.</t>
        </is>
      </c>
      <c r="S44" s="3" t="n"/>
      <c r="T44" s="22" t="n">
        <v>30</v>
      </c>
      <c r="U44" s="22">
        <f>INDEX(Khung_cap_do!$H$2:$H$6,F44)</f>
        <v/>
      </c>
      <c r="V44" s="22" t="n">
        <v>2</v>
      </c>
      <c r="W44" s="22" t="n">
        <v>1</v>
      </c>
      <c r="X44" s="3" t="inlineStr">
        <is>
          <t>V1.AM.02</t>
        </is>
      </c>
      <c r="Y44" s="3" t="inlineStr">
        <is>
          <t>TV.DAUTHANH</t>
        </is>
      </c>
      <c r="Z44" s="3" t="inlineStr">
        <is>
          <t>Bộ mẫu</t>
        </is>
      </c>
      <c r="AA44" s="3" t="inlineStr"/>
      <c r="AB44" s="3" t="inlineStr">
        <is>
          <t>Đã học dấu sắc và các tiếng so sánh.</t>
        </is>
      </c>
      <c r="AC44" s="3" t="inlineStr">
        <is>
          <t>Chỉ dùng sau khi học dấu sắc.</t>
        </is>
      </c>
      <c r="AD44" s="3" t="inlineStr">
        <is>
          <t>Chương trình GDPT 2018 / kế hoạch dạy học của trường; đối chiếu văn bản hiện hành</t>
        </is>
      </c>
      <c r="AE44" s="3" t="inlineStr">
        <is>
          <t>Bản mẫu — cần rà soát</t>
        </is>
      </c>
      <c r="AF44" s="3" t="inlineStr">
        <is>
          <t>Chờ giáo viên duyệt</t>
        </is>
      </c>
      <c r="AG44" s="3" t="n"/>
    </row>
    <row r="45">
      <c r="A45" s="3" t="inlineStr">
        <is>
          <t>EC1-071</t>
        </is>
      </c>
      <c r="B45" s="3" t="inlineStr">
        <is>
          <t>Tiếng Việt</t>
        </is>
      </c>
      <c r="C45" s="22" t="n">
        <v>1</v>
      </c>
      <c r="D45" s="3" t="inlineStr">
        <is>
          <t>Sau khi học chữ m</t>
        </is>
      </c>
      <c r="E45" s="3" t="inlineStr">
        <is>
          <t>Nhận diện chữ</t>
        </is>
      </c>
      <c r="F45" s="23" t="n">
        <v>1</v>
      </c>
      <c r="G45" s="3" t="inlineStr">
        <is>
          <t>Làm quen</t>
        </is>
      </c>
      <c r="H45" s="22" t="n"/>
      <c r="I45" s="3" t="n"/>
      <c r="J45" s="3" t="inlineStr">
        <is>
          <t>Chọn đáp án</t>
        </is>
      </c>
      <c r="K45" s="3" t="inlineStr">
        <is>
          <t>Chọn chữ m.</t>
        </is>
      </c>
      <c r="L45" s="3" t="inlineStr">
        <is>
          <t>m</t>
        </is>
      </c>
      <c r="M45" s="3" t="inlineStr">
        <is>
          <t>n</t>
        </is>
      </c>
      <c r="N45" s="3" t="inlineStr">
        <is>
          <t>h</t>
        </is>
      </c>
      <c r="O45" s="3" t="n"/>
      <c r="P45" s="3" t="n"/>
      <c r="Q45" s="3" t="inlineStr">
        <is>
          <t>A</t>
        </is>
      </c>
      <c r="R45" s="3" t="inlineStr">
        <is>
          <t>Chữ cần tìm là m.</t>
        </is>
      </c>
      <c r="S45" s="3" t="n"/>
      <c r="T45" s="22" t="n">
        <v>30</v>
      </c>
      <c r="U45" s="22">
        <f>INDEX(Khung_cap_do!$H$2:$H$6,F45)</f>
        <v/>
      </c>
      <c r="V45" s="22" t="n">
        <v>2</v>
      </c>
      <c r="W45" s="22" t="n">
        <v>2</v>
      </c>
      <c r="X45" s="3" t="inlineStr">
        <is>
          <t>V1.AM.01</t>
        </is>
      </c>
      <c r="Y45" s="3" t="inlineStr">
        <is>
          <t>TV.AMCHU</t>
        </is>
      </c>
      <c r="Z45" s="3" t="inlineStr">
        <is>
          <t>Soạn thêm</t>
        </is>
      </c>
      <c r="AA45" s="3" t="inlineStr"/>
      <c r="AB45" s="3" t="inlineStr">
        <is>
          <t>Đã học chữ m, n, h.</t>
        </is>
      </c>
      <c r="AC45" s="3" t="inlineStr">
        <is>
          <t>Chương trình GDPT 2018 – Tiếng Việt 1; đối chiếu SGK Kết nối tri thức (Tập 1).</t>
        </is>
      </c>
      <c r="AD45" s="3" t="inlineStr">
        <is>
          <t>EduChain Kids soạn thêm (2026-10); bám chương trình GDPT 2018 và trình tự SGK đã chọn</t>
        </is>
      </c>
      <c r="AE45" s="3" t="inlineStr">
        <is>
          <t>Bản soạn mới — cần rà soát</t>
        </is>
      </c>
      <c r="AF45" s="3" t="inlineStr">
        <is>
          <t>Chờ giáo viên duyệt</t>
        </is>
      </c>
      <c r="AG45" s="3" t="n"/>
    </row>
    <row r="46">
      <c r="A46" s="3" t="inlineStr">
        <is>
          <t>EC1-072</t>
        </is>
      </c>
      <c r="B46" s="3" t="inlineStr">
        <is>
          <t>Tiếng Việt</t>
        </is>
      </c>
      <c r="C46" s="22" t="n">
        <v>1</v>
      </c>
      <c r="D46" s="3" t="inlineStr">
        <is>
          <t>Sau khi học chữ c</t>
        </is>
      </c>
      <c r="E46" s="3" t="inlineStr">
        <is>
          <t>Chữ đầu tiếng</t>
        </is>
      </c>
      <c r="F46" s="23" t="n">
        <v>1</v>
      </c>
      <c r="G46" s="3" t="inlineStr">
        <is>
          <t>Làm quen</t>
        </is>
      </c>
      <c r="H46" s="22" t="n"/>
      <c r="I46" s="3" t="n"/>
      <c r="J46" s="3" t="inlineStr">
        <is>
          <t>Chọn đáp án</t>
        </is>
      </c>
      <c r="K46" s="3" t="inlineStr">
        <is>
          <t>Tiếng "cá" bắt đầu bằng chữ nào?</t>
        </is>
      </c>
      <c r="L46" s="3" t="inlineStr">
        <is>
          <t>c</t>
        </is>
      </c>
      <c r="M46" s="3" t="inlineStr">
        <is>
          <t>a</t>
        </is>
      </c>
      <c r="N46" s="3" t="inlineStr">
        <is>
          <t>k</t>
        </is>
      </c>
      <c r="O46" s="3" t="n"/>
      <c r="P46" s="3" t="n"/>
      <c r="Q46" s="3" t="inlineStr">
        <is>
          <t>A</t>
        </is>
      </c>
      <c r="R46" s="3" t="inlineStr">
        <is>
          <t>"Cá" gồm c và a, dấu sắc.</t>
        </is>
      </c>
      <c r="S46" s="3" t="n"/>
      <c r="T46" s="22" t="n">
        <v>30</v>
      </c>
      <c r="U46" s="22">
        <f>INDEX(Khung_cap_do!$H$2:$H$6,F46)</f>
        <v/>
      </c>
      <c r="V46" s="22" t="n">
        <v>3</v>
      </c>
      <c r="W46" s="22" t="n">
        <v>1</v>
      </c>
      <c r="X46" s="3" t="inlineStr">
        <is>
          <t>V1.AM.01</t>
        </is>
      </c>
      <c r="Y46" s="3" t="inlineStr">
        <is>
          <t>TV.AMCHU</t>
        </is>
      </c>
      <c r="Z46" s="3" t="inlineStr">
        <is>
          <t>Soạn thêm</t>
        </is>
      </c>
      <c r="AA46" s="3" t="inlineStr"/>
      <c r="AB46" s="3" t="inlineStr">
        <is>
          <t>Đã học c, a và dấu sắc.</t>
        </is>
      </c>
      <c r="AC46" s="3" t="inlineStr">
        <is>
          <t>Chương trình GDPT 2018 – Tiếng Việt 1; đối chiếu SGK Kết nối tri thức (Tập 1).</t>
        </is>
      </c>
      <c r="AD46" s="3" t="inlineStr">
        <is>
          <t>EduChain Kids soạn thêm (2026-10); bám chương trình GDPT 2018 và trình tự SGK đã chọn</t>
        </is>
      </c>
      <c r="AE46" s="3" t="inlineStr">
        <is>
          <t>Bản soạn mới — cần rà soát</t>
        </is>
      </c>
      <c r="AF46" s="3" t="inlineStr">
        <is>
          <t>Chờ giáo viên duyệt</t>
        </is>
      </c>
      <c r="AG46" s="3" t="n"/>
    </row>
    <row r="47">
      <c r="A47" s="3" t="inlineStr">
        <is>
          <t>EC1-073</t>
        </is>
      </c>
      <c r="B47" s="3" t="inlineStr">
        <is>
          <t>Tiếng Việt</t>
        </is>
      </c>
      <c r="C47" s="22" t="n">
        <v>1</v>
      </c>
      <c r="D47" s="3" t="inlineStr">
        <is>
          <t>Sau khi học dấu huyền</t>
        </is>
      </c>
      <c r="E47" s="3" t="inlineStr">
        <is>
          <t>Thanh điệu</t>
        </is>
      </c>
      <c r="F47" s="23" t="n">
        <v>1</v>
      </c>
      <c r="G47" s="3" t="inlineStr">
        <is>
          <t>Làm quen</t>
        </is>
      </c>
      <c r="H47" s="22" t="n"/>
      <c r="I47" s="3" t="n"/>
      <c r="J47" s="3" t="inlineStr">
        <is>
          <t>Chọn đáp án</t>
        </is>
      </c>
      <c r="K47" s="3" t="inlineStr">
        <is>
          <t>Chọn tiếng có dấu huyền.</t>
        </is>
      </c>
      <c r="L47" s="3" t="inlineStr">
        <is>
          <t>bà</t>
        </is>
      </c>
      <c r="M47" s="3" t="inlineStr">
        <is>
          <t>bá</t>
        </is>
      </c>
      <c r="N47" s="3" t="inlineStr">
        <is>
          <t>bạ</t>
        </is>
      </c>
      <c r="O47" s="3" t="n"/>
      <c r="P47" s="3" t="n"/>
      <c r="Q47" s="3" t="inlineStr">
        <is>
          <t>A</t>
        </is>
      </c>
      <c r="R47" s="3" t="inlineStr">
        <is>
          <t>"Bà" mang dấu huyền.</t>
        </is>
      </c>
      <c r="S47" s="3" t="n"/>
      <c r="T47" s="22" t="n">
        <v>30</v>
      </c>
      <c r="U47" s="22">
        <f>INDEX(Khung_cap_do!$H$2:$H$6,F47)</f>
        <v/>
      </c>
      <c r="V47" s="22" t="n">
        <v>3</v>
      </c>
      <c r="W47" s="22" t="n">
        <v>2</v>
      </c>
      <c r="X47" s="3" t="inlineStr">
        <is>
          <t>V1.AM.02</t>
        </is>
      </c>
      <c r="Y47" s="3" t="inlineStr">
        <is>
          <t>TV.DAUTHANH</t>
        </is>
      </c>
      <c r="Z47" s="3" t="inlineStr">
        <is>
          <t>Soạn thêm</t>
        </is>
      </c>
      <c r="AA47" s="3" t="inlineStr"/>
      <c r="AB47" s="3" t="inlineStr">
        <is>
          <t>Đã học dấu huyền, sắc, nặng.</t>
        </is>
      </c>
      <c r="AC47" s="3" t="inlineStr">
        <is>
          <t>Chương trình GDPT 2018 – Tiếng Việt 1; đối chiếu SGK Kết nối tri thức (Tập 1).</t>
        </is>
      </c>
      <c r="AD47" s="3" t="inlineStr">
        <is>
          <t>EduChain Kids soạn thêm (2026-10); bám chương trình GDPT 2018 và trình tự SGK đã chọn</t>
        </is>
      </c>
      <c r="AE47" s="3" t="inlineStr">
        <is>
          <t>Bản soạn mới — cần rà soát</t>
        </is>
      </c>
      <c r="AF47" s="3" t="inlineStr">
        <is>
          <t>Chờ giáo viên duyệt</t>
        </is>
      </c>
      <c r="AG47" s="3" t="n"/>
    </row>
    <row r="48">
      <c r="A48" s="3" t="inlineStr">
        <is>
          <t>EC1-074</t>
        </is>
      </c>
      <c r="B48" s="3" t="inlineStr">
        <is>
          <t>Tiếng Việt</t>
        </is>
      </c>
      <c r="C48" s="22" t="n">
        <v>1</v>
      </c>
      <c r="D48" s="3" t="inlineStr">
        <is>
          <t>Sau khi học dấu nặng</t>
        </is>
      </c>
      <c r="E48" s="3" t="inlineStr">
        <is>
          <t>Thanh điệu</t>
        </is>
      </c>
      <c r="F48" s="23" t="n">
        <v>1</v>
      </c>
      <c r="G48" s="3" t="inlineStr">
        <is>
          <t>Làm quen</t>
        </is>
      </c>
      <c r="H48" s="22" t="n"/>
      <c r="I48" s="3" t="n"/>
      <c r="J48" s="3" t="inlineStr">
        <is>
          <t>Đúng / Sai</t>
        </is>
      </c>
      <c r="K48" s="3" t="inlineStr">
        <is>
          <t>Tiếng "mẹ" có dấu nặng.</t>
        </is>
      </c>
      <c r="L48" s="3" t="inlineStr">
        <is>
          <t>Đúng</t>
        </is>
      </c>
      <c r="M48" s="3" t="inlineStr">
        <is>
          <t>Sai</t>
        </is>
      </c>
      <c r="N48" s="3" t="n"/>
      <c r="O48" s="3" t="n"/>
      <c r="P48" s="3" t="n"/>
      <c r="Q48" s="3" t="inlineStr">
        <is>
          <t>A</t>
        </is>
      </c>
      <c r="R48" s="3" t="inlineStr">
        <is>
          <t>Dấu nặng đặt dưới chữ e trong "mẹ".</t>
        </is>
      </c>
      <c r="S48" s="3" t="n"/>
      <c r="T48" s="22" t="n">
        <v>30</v>
      </c>
      <c r="U48" s="22">
        <f>INDEX(Khung_cap_do!$H$2:$H$6,F48)</f>
        <v/>
      </c>
      <c r="V48" s="22" t="n">
        <v>4</v>
      </c>
      <c r="W48" s="22" t="n">
        <v>1</v>
      </c>
      <c r="X48" s="3" t="inlineStr">
        <is>
          <t>V1.AM.02</t>
        </is>
      </c>
      <c r="Y48" s="3" t="inlineStr">
        <is>
          <t>TV.DAUTHANH</t>
        </is>
      </c>
      <c r="Z48" s="3" t="inlineStr">
        <is>
          <t>Soạn thêm</t>
        </is>
      </c>
      <c r="AA48" s="3" t="inlineStr"/>
      <c r="AB48" s="3" t="inlineStr">
        <is>
          <t>Đã học m, e và dấu nặng.</t>
        </is>
      </c>
      <c r="AC48" s="3" t="inlineStr">
        <is>
          <t>Chương trình GDPT 2018 – Tiếng Việt 1; đối chiếu SGK Kết nối tri thức (Tập 1).</t>
        </is>
      </c>
      <c r="AD48" s="3" t="inlineStr">
        <is>
          <t>EduChain Kids soạn thêm (2026-10); bám chương trình GDPT 2018 và trình tự SGK đã chọn</t>
        </is>
      </c>
      <c r="AE48" s="3" t="inlineStr">
        <is>
          <t>Bản soạn mới — cần rà soát</t>
        </is>
      </c>
      <c r="AF48" s="3" t="inlineStr">
        <is>
          <t>Chờ giáo viên duyệt</t>
        </is>
      </c>
      <c r="AG48" s="3" t="n"/>
    </row>
    <row r="49">
      <c r="A49" s="3" t="inlineStr">
        <is>
          <t>EC1-075</t>
        </is>
      </c>
      <c r="B49" s="3" t="inlineStr">
        <is>
          <t>Tiếng Việt</t>
        </is>
      </c>
      <c r="C49" s="22" t="n">
        <v>1</v>
      </c>
      <c r="D49" s="3" t="inlineStr">
        <is>
          <t>Sau khi học vần eo</t>
        </is>
      </c>
      <c r="E49" s="3" t="inlineStr">
        <is>
          <t>Nhận diện vần</t>
        </is>
      </c>
      <c r="F49" s="23" t="n">
        <v>1</v>
      </c>
      <c r="G49" s="3" t="inlineStr">
        <is>
          <t>Làm quen</t>
        </is>
      </c>
      <c r="H49" s="22" t="n"/>
      <c r="I49" s="3" t="n"/>
      <c r="J49" s="3" t="inlineStr">
        <is>
          <t>Chọn đáp án</t>
        </is>
      </c>
      <c r="K49" s="3" t="inlineStr">
        <is>
          <t>Tiếng "mèo" có vần gì?</t>
        </is>
      </c>
      <c r="L49" s="3" t="inlineStr">
        <is>
          <t>eo</t>
        </is>
      </c>
      <c r="M49" s="3" t="inlineStr">
        <is>
          <t>ao</t>
        </is>
      </c>
      <c r="N49" s="3" t="inlineStr">
        <is>
          <t>au</t>
        </is>
      </c>
      <c r="O49" s="3" t="n"/>
      <c r="P49" s="3" t="n"/>
      <c r="Q49" s="3" t="inlineStr">
        <is>
          <t>A</t>
        </is>
      </c>
      <c r="R49" s="3" t="inlineStr">
        <is>
          <t>"Mèo" = m + eo + dấu huyền.</t>
        </is>
      </c>
      <c r="S49" s="3" t="n"/>
      <c r="T49" s="22" t="n">
        <v>30</v>
      </c>
      <c r="U49" s="22">
        <f>INDEX(Khung_cap_do!$H$2:$H$6,F49)</f>
        <v/>
      </c>
      <c r="V49" s="22" t="n">
        <v>4</v>
      </c>
      <c r="W49" s="22" t="n">
        <v>2</v>
      </c>
      <c r="X49" s="3" t="inlineStr">
        <is>
          <t>V1.AM.03</t>
        </is>
      </c>
      <c r="Y49" s="3" t="inlineStr">
        <is>
          <t>TV.GHEPVAN</t>
        </is>
      </c>
      <c r="Z49" s="3" t="inlineStr">
        <is>
          <t>Soạn thêm</t>
        </is>
      </c>
      <c r="AA49" s="3" t="inlineStr"/>
      <c r="AB49" s="3" t="inlineStr">
        <is>
          <t>Đã học vần ao, eo, au.</t>
        </is>
      </c>
      <c r="AC49" s="3" t="inlineStr">
        <is>
          <t>Chương trình GDPT 2018 – Tiếng Việt 1; đối chiếu SGK Kết nối tri thức (Tập 1).</t>
        </is>
      </c>
      <c r="AD49" s="3" t="inlineStr">
        <is>
          <t>EduChain Kids soạn thêm (2026-10); bám chương trình GDPT 2018 và trình tự SGK đã chọn</t>
        </is>
      </c>
      <c r="AE49" s="3" t="inlineStr">
        <is>
          <t>Bản soạn mới — cần rà soát</t>
        </is>
      </c>
      <c r="AF49" s="3" t="inlineStr">
        <is>
          <t>Chờ giáo viên duyệt</t>
        </is>
      </c>
      <c r="AG49" s="3" t="n"/>
    </row>
    <row r="50">
      <c r="A50" s="3" t="inlineStr">
        <is>
          <t>EC1-019</t>
        </is>
      </c>
      <c r="B50" s="3" t="inlineStr">
        <is>
          <t>Tiếng Việt</t>
        </is>
      </c>
      <c r="C50" s="22" t="n">
        <v>1</v>
      </c>
      <c r="D50" s="3" t="inlineStr">
        <is>
          <t>Sau khi học chữ để ghép tiếng</t>
        </is>
      </c>
      <c r="E50" s="3" t="inlineStr">
        <is>
          <t>Ghép tiếng</t>
        </is>
      </c>
      <c r="F50" s="23" t="n">
        <v>2</v>
      </c>
      <c r="G50" s="3" t="inlineStr">
        <is>
          <t>Cơ bản</t>
        </is>
      </c>
      <c r="H50" s="22" t="n"/>
      <c r="I50" s="3" t="n"/>
      <c r="J50" s="3" t="inlineStr">
        <is>
          <t>Chọn đáp án</t>
        </is>
      </c>
      <c r="K50" s="3" t="inlineStr">
        <is>
          <t>Chọn tiếng ghép được từ b và a.</t>
        </is>
      </c>
      <c r="L50" s="3" t="inlineStr">
        <is>
          <t>ba</t>
        </is>
      </c>
      <c r="M50" s="3" t="inlineStr">
        <is>
          <t>ca</t>
        </is>
      </c>
      <c r="N50" s="3" t="inlineStr">
        <is>
          <t>ma</t>
        </is>
      </c>
      <c r="O50" s="3" t="n"/>
      <c r="P50" s="3" t="n"/>
      <c r="Q50" s="3" t="inlineStr">
        <is>
          <t>A</t>
        </is>
      </c>
      <c r="R50" s="3" t="inlineStr">
        <is>
          <t>b ghép với a tạo thành “ba”.</t>
        </is>
      </c>
      <c r="S50" s="3" t="n"/>
      <c r="T50" s="22" t="n">
        <v>40</v>
      </c>
      <c r="U50" s="22">
        <f>INDEX(Khung_cap_do!$H$2:$H$6,F50)</f>
        <v/>
      </c>
      <c r="V50" s="22" t="n">
        <v>1</v>
      </c>
      <c r="W50" s="22" t="n">
        <v>3</v>
      </c>
      <c r="X50" s="3" t="inlineStr">
        <is>
          <t>V1.DOC.01</t>
        </is>
      </c>
      <c r="Y50" s="3" t="inlineStr">
        <is>
          <t>TV.GHEPVAN</t>
        </is>
      </c>
      <c r="Z50" s="3" t="inlineStr">
        <is>
          <t>Bộ mẫu</t>
        </is>
      </c>
      <c r="AA50" s="3" t="inlineStr"/>
      <c r="AB50" s="3" t="inlineStr">
        <is>
          <t>Các chữ và thao tác ghép tiếng đã học.</t>
        </is>
      </c>
      <c r="AC50" s="3" t="inlineStr">
        <is>
          <t>Đối chiếu bài đã học.</t>
        </is>
      </c>
      <c r="AD50" s="3" t="inlineStr">
        <is>
          <t>Chương trình GDPT 2018 / kế hoạch dạy học của trường; đối chiếu văn bản hiện hành</t>
        </is>
      </c>
      <c r="AE50" s="3" t="inlineStr">
        <is>
          <t>Bản mẫu — cần rà soát</t>
        </is>
      </c>
      <c r="AF50" s="3" t="inlineStr">
        <is>
          <t>Chờ giáo viên duyệt</t>
        </is>
      </c>
      <c r="AG50" s="3" t="n"/>
    </row>
    <row r="51">
      <c r="A51" s="3" t="inlineStr">
        <is>
          <t>EC1-020</t>
        </is>
      </c>
      <c r="B51" s="3" t="inlineStr">
        <is>
          <t>Tiếng Việt</t>
        </is>
      </c>
      <c r="C51" s="22" t="n">
        <v>1</v>
      </c>
      <c r="D51" s="3" t="inlineStr">
        <is>
          <t>Sau khi học từ tương ứng</t>
        </is>
      </c>
      <c r="E51" s="3" t="inlineStr">
        <is>
          <t>Đọc từ</t>
        </is>
      </c>
      <c r="F51" s="23" t="n">
        <v>2</v>
      </c>
      <c r="G51" s="3" t="inlineStr">
        <is>
          <t>Cơ bản</t>
        </is>
      </c>
      <c r="H51" s="22" t="n"/>
      <c r="I51" s="3" t="n"/>
      <c r="J51" s="3" t="inlineStr">
        <is>
          <t>Chọn đáp án</t>
        </is>
      </c>
      <c r="K51" s="3" t="inlineStr">
        <is>
          <t>Từ nào chỉ một con vật?</t>
        </is>
      </c>
      <c r="L51" s="3" t="inlineStr">
        <is>
          <t>mèo</t>
        </is>
      </c>
      <c r="M51" s="3" t="inlineStr">
        <is>
          <t>bàn</t>
        </is>
      </c>
      <c r="N51" s="3" t="inlineStr">
        <is>
          <t>bút</t>
        </is>
      </c>
      <c r="O51" s="3" t="n"/>
      <c r="P51" s="3" t="n"/>
      <c r="Q51" s="3" t="inlineStr">
        <is>
          <t>A</t>
        </is>
      </c>
      <c r="R51" s="3" t="inlineStr">
        <is>
          <t>Mèo là tên một con vật.</t>
        </is>
      </c>
      <c r="S51" s="3" t="n"/>
      <c r="T51" s="22" t="n">
        <v>40</v>
      </c>
      <c r="U51" s="22">
        <f>INDEX(Khung_cap_do!$H$2:$H$6,F51)</f>
        <v/>
      </c>
      <c r="V51" s="22" t="n">
        <v>1</v>
      </c>
      <c r="W51" s="22" t="n">
        <v>4</v>
      </c>
      <c r="X51" s="3" t="inlineStr">
        <is>
          <t>V1.VIET.04</t>
        </is>
      </c>
      <c r="Y51" s="3" t="inlineStr">
        <is>
          <t>TV.TUNGU</t>
        </is>
      </c>
      <c r="Z51" s="3" t="inlineStr">
        <is>
          <t>Bộ mẫu</t>
        </is>
      </c>
      <c r="AA51" s="3" t="inlineStr"/>
      <c r="AB51" s="3" t="inlineStr">
        <is>
          <t>Học sinh đọc được từ hoặc có hỗ trợ âm thanh.</t>
        </is>
      </c>
      <c r="AC51" s="3" t="inlineStr">
        <is>
          <t>Tránh kiểm tra vốn từ ngoài chương trình.</t>
        </is>
      </c>
      <c r="AD51" s="3" t="inlineStr">
        <is>
          <t>Chương trình GDPT 2018 / kế hoạch dạy học của trường; đối chiếu văn bản hiện hành</t>
        </is>
      </c>
      <c r="AE51" s="3" t="inlineStr">
        <is>
          <t>Bản mẫu — cần rà soát</t>
        </is>
      </c>
      <c r="AF51" s="3" t="inlineStr">
        <is>
          <t>Chờ giáo viên duyệt</t>
        </is>
      </c>
      <c r="AG51" s="3" t="n"/>
    </row>
    <row r="52">
      <c r="A52" s="3" t="inlineStr">
        <is>
          <t>EC1-021</t>
        </is>
      </c>
      <c r="B52" s="3" t="inlineStr">
        <is>
          <t>Tiếng Việt</t>
        </is>
      </c>
      <c r="C52" s="22" t="n">
        <v>1</v>
      </c>
      <c r="D52" s="3" t="inlineStr">
        <is>
          <t>Sau khi học câu ngắn</t>
        </is>
      </c>
      <c r="E52" s="3" t="inlineStr">
        <is>
          <t>Hiểu câu</t>
        </is>
      </c>
      <c r="F52" s="23" t="n">
        <v>2</v>
      </c>
      <c r="G52" s="3" t="inlineStr">
        <is>
          <t>Cơ bản</t>
        </is>
      </c>
      <c r="H52" s="22" t="n"/>
      <c r="I52" s="3" t="n"/>
      <c r="J52" s="3" t="inlineStr">
        <is>
          <t>Chọn đáp án</t>
        </is>
      </c>
      <c r="K52" s="3" t="inlineStr">
        <is>
          <t>Câu “Bé đá bóng.” nói về việc gì?</t>
        </is>
      </c>
      <c r="L52" s="3" t="inlineStr">
        <is>
          <t>Bé đá bóng</t>
        </is>
      </c>
      <c r="M52" s="3" t="inlineStr">
        <is>
          <t>Bé ngủ</t>
        </is>
      </c>
      <c r="N52" s="3" t="inlineStr">
        <is>
          <t>Bé ăn cơm</t>
        </is>
      </c>
      <c r="O52" s="3" t="n"/>
      <c r="P52" s="3" t="n"/>
      <c r="Q52" s="3" t="inlineStr">
        <is>
          <t>A</t>
        </is>
      </c>
      <c r="R52" s="3" t="inlineStr">
        <is>
          <t>Câu nêu việc bé đá bóng.</t>
        </is>
      </c>
      <c r="S52" s="3" t="n"/>
      <c r="T52" s="22" t="n">
        <v>40</v>
      </c>
      <c r="U52" s="22">
        <f>INDEX(Khung_cap_do!$H$2:$H$6,F52)</f>
        <v/>
      </c>
      <c r="V52" s="22" t="n">
        <v>2</v>
      </c>
      <c r="W52" s="22" t="n">
        <v>3</v>
      </c>
      <c r="X52" s="3" t="inlineStr">
        <is>
          <t>V1.DOC.04</t>
        </is>
      </c>
      <c r="Y52" s="3" t="inlineStr">
        <is>
          <t>TV.DOCHIEU</t>
        </is>
      </c>
      <c r="Z52" s="3" t="inlineStr">
        <is>
          <t>Bộ mẫu</t>
        </is>
      </c>
      <c r="AA52" s="3" t="inlineStr">
        <is>
          <t>[Chọn đáp án] Câu "Bé đá bóng." nói về việc gì?
A. Bé đá bóng | B. Bé ngủ | C. Bé ăn cơm
Đáp án: A</t>
        </is>
      </c>
      <c r="AB52" s="3" t="inlineStr">
        <is>
          <t>Học sinh đọc/nghe được câu.</t>
        </is>
      </c>
      <c r="AC52" s="3" t="inlineStr">
        <is>
          <t>Câu ngắn, từ vựng quen thuộc.</t>
        </is>
      </c>
      <c r="AD52" s="3" t="inlineStr">
        <is>
          <t>Chương trình GDPT 2018 / kế hoạch dạy học của trường; đối chiếu văn bản hiện hành</t>
        </is>
      </c>
      <c r="AE52" s="3" t="inlineStr">
        <is>
          <t>Bản mẫu — cần rà soát</t>
        </is>
      </c>
      <c r="AF52" s="3" t="inlineStr">
        <is>
          <t>Chờ giáo viên duyệt</t>
        </is>
      </c>
      <c r="AG52" s="3" t="n"/>
    </row>
    <row r="53">
      <c r="A53" s="3" t="inlineStr">
        <is>
          <t>EC1-024</t>
        </is>
      </c>
      <c r="B53" s="3" t="inlineStr">
        <is>
          <t>Tiếng Việt</t>
        </is>
      </c>
      <c r="C53" s="22" t="n">
        <v>1</v>
      </c>
      <c r="D53" s="3" t="inlineStr">
        <is>
          <t>Sau khi học từ chỉ đặc điểm</t>
        </is>
      </c>
      <c r="E53" s="3" t="inlineStr">
        <is>
          <t>Từ ngữ</t>
        </is>
      </c>
      <c r="F53" s="23" t="n">
        <v>2</v>
      </c>
      <c r="G53" s="3" t="inlineStr">
        <is>
          <t>Cơ bản</t>
        </is>
      </c>
      <c r="H53" s="22" t="n">
        <v>3</v>
      </c>
      <c r="I53" s="3" t="inlineStr">
        <is>
          <t>Chỉ nhận biết nghĩa một từ quen thuộc, xếp L2.</t>
        </is>
      </c>
      <c r="J53" s="3" t="inlineStr">
        <is>
          <t>Chọn đáp án</t>
        </is>
      </c>
      <c r="K53" s="3" t="inlineStr">
        <is>
          <t>Chọn từ chỉ màu sắc.</t>
        </is>
      </c>
      <c r="L53" s="3" t="inlineStr">
        <is>
          <t>đỏ</t>
        </is>
      </c>
      <c r="M53" s="3" t="inlineStr">
        <is>
          <t>chạy</t>
        </is>
      </c>
      <c r="N53" s="3" t="inlineStr">
        <is>
          <t>ngủ</t>
        </is>
      </c>
      <c r="O53" s="3" t="n"/>
      <c r="P53" s="3" t="n"/>
      <c r="Q53" s="3" t="inlineStr">
        <is>
          <t>A</t>
        </is>
      </c>
      <c r="R53" s="3" t="inlineStr">
        <is>
          <t>“Đỏ” chỉ màu sắc.</t>
        </is>
      </c>
      <c r="S53" s="3" t="n"/>
      <c r="T53" s="22" t="n">
        <v>40</v>
      </c>
      <c r="U53" s="22">
        <f>INDEX(Khung_cap_do!$H$2:$H$6,F53)</f>
        <v/>
      </c>
      <c r="V53" s="22" t="n">
        <v>2</v>
      </c>
      <c r="W53" s="22" t="n">
        <v>4</v>
      </c>
      <c r="X53" s="3" t="inlineStr">
        <is>
          <t>V1.VIET.04</t>
        </is>
      </c>
      <c r="Y53" s="3" t="inlineStr">
        <is>
          <t>TV.TUNGU</t>
        </is>
      </c>
      <c r="Z53" s="3" t="inlineStr">
        <is>
          <t>Bộ mẫu</t>
        </is>
      </c>
      <c r="AA53" s="3" t="inlineStr"/>
      <c r="AB53" s="3" t="inlineStr">
        <is>
          <t>Từ và khái niệm đã được giới thiệu.</t>
        </is>
      </c>
      <c r="AC53" s="3" t="inlineStr">
        <is>
          <t>Giáo viên xác nhận thuật ngữ phù hợp.</t>
        </is>
      </c>
      <c r="AD53" s="3" t="inlineStr">
        <is>
          <t>Chương trình GDPT 2018 / kế hoạch dạy học của trường; đối chiếu văn bản hiện hành</t>
        </is>
      </c>
      <c r="AE53" s="3" t="inlineStr">
        <is>
          <t>Bản mẫu — cần rà soát</t>
        </is>
      </c>
      <c r="AF53" s="3" t="inlineStr">
        <is>
          <t>Chờ giáo viên duyệt</t>
        </is>
      </c>
      <c r="AG53" s="3" t="n"/>
    </row>
    <row r="54">
      <c r="A54" s="3" t="inlineStr">
        <is>
          <t>EC1-076</t>
        </is>
      </c>
      <c r="B54" s="3" t="inlineStr">
        <is>
          <t>Tiếng Việt</t>
        </is>
      </c>
      <c r="C54" s="22" t="n">
        <v>1</v>
      </c>
      <c r="D54" s="3" t="inlineStr">
        <is>
          <t>Sau khi học quy tắc c/k</t>
        </is>
      </c>
      <c r="E54" s="3" t="inlineStr">
        <is>
          <t>Chính tả c/k</t>
        </is>
      </c>
      <c r="F54" s="23" t="n">
        <v>2</v>
      </c>
      <c r="G54" s="3" t="inlineStr">
        <is>
          <t>Cơ bản</t>
        </is>
      </c>
      <c r="H54" s="22" t="n"/>
      <c r="I54" s="3" t="n"/>
      <c r="J54" s="3" t="inlineStr">
        <is>
          <t>Điền đáp án</t>
        </is>
      </c>
      <c r="K54" s="3" t="inlineStr">
        <is>
          <t>Điền c hoặc k: cái ...ẹo</t>
        </is>
      </c>
      <c r="L54" s="3" t="n"/>
      <c r="M54" s="3" t="n"/>
      <c r="N54" s="3" t="n"/>
      <c r="O54" s="3" t="n"/>
      <c r="P54" s="3" t="n"/>
      <c r="Q54" s="3" t="inlineStr">
        <is>
          <t>k</t>
        </is>
      </c>
      <c r="R54" s="3" t="inlineStr">
        <is>
          <t>Viết k trước e, ê, i: cái kẹo.</t>
        </is>
      </c>
      <c r="S54" s="3" t="n"/>
      <c r="T54" s="22" t="n">
        <v>50</v>
      </c>
      <c r="U54" s="22">
        <f>INDEX(Khung_cap_do!$H$2:$H$6,F54)</f>
        <v/>
      </c>
      <c r="V54" s="22" t="n">
        <v>3</v>
      </c>
      <c r="W54" s="22" t="n">
        <v>3</v>
      </c>
      <c r="X54" s="3" t="inlineStr">
        <is>
          <t>V1.AM.04</t>
        </is>
      </c>
      <c r="Y54" s="3" t="inlineStr">
        <is>
          <t>TV.CHINHTA</t>
        </is>
      </c>
      <c r="Z54" s="3" t="inlineStr">
        <is>
          <t>Soạn thêm</t>
        </is>
      </c>
      <c r="AA54" s="3" t="inlineStr"/>
      <c r="AB54" s="3" t="inlineStr">
        <is>
          <t>Đã học c, k và quy tắc viết k trước e, ê, i.</t>
        </is>
      </c>
      <c r="AC54" s="3" t="inlineStr">
        <is>
          <t>Chương trình GDPT 2018 – Tiếng Việt 1; đối chiếu SGK Kết nối tri thức (Tập 1).</t>
        </is>
      </c>
      <c r="AD54" s="3" t="inlineStr">
        <is>
          <t>EduChain Kids soạn thêm (2026-10); bám chương trình GDPT 2018 và trình tự SGK đã chọn</t>
        </is>
      </c>
      <c r="AE54" s="3" t="inlineStr">
        <is>
          <t>Bản soạn mới — cần rà soát</t>
        </is>
      </c>
      <c r="AF54" s="3" t="inlineStr">
        <is>
          <t>Chờ giáo viên duyệt</t>
        </is>
      </c>
      <c r="AG54" s="3" t="n"/>
    </row>
    <row r="55">
      <c r="A55" s="3" t="inlineStr">
        <is>
          <t>EC1-077</t>
        </is>
      </c>
      <c r="B55" s="3" t="inlineStr">
        <is>
          <t>Tiếng Việt</t>
        </is>
      </c>
      <c r="C55" s="22" t="n">
        <v>1</v>
      </c>
      <c r="D55" s="3" t="inlineStr">
        <is>
          <t>Sau khi học các chữ c, g, b</t>
        </is>
      </c>
      <c r="E55" s="3" t="inlineStr">
        <is>
          <t>Đọc tiếng – nối tranh</t>
        </is>
      </c>
      <c r="F55" s="23" t="n">
        <v>2</v>
      </c>
      <c r="G55" s="3" t="inlineStr">
        <is>
          <t>Cơ bản</t>
        </is>
      </c>
      <c r="H55" s="22" t="n"/>
      <c r="I55" s="3" t="n"/>
      <c r="J55" s="3" t="inlineStr">
        <is>
          <t>Ghép cặp</t>
        </is>
      </c>
      <c r="K55" s="3" t="inlineStr">
        <is>
          <t>Nối tranh với tiếng.
(Vế trái: 🐟 / 🐔 / 🐄 · Vế phải: bò / cá / gà)</t>
        </is>
      </c>
      <c r="L55" s="3" t="n"/>
      <c r="M55" s="3" t="n"/>
      <c r="N55" s="3" t="n"/>
      <c r="O55" s="3" t="n"/>
      <c r="P55" s="3" t="n"/>
      <c r="Q55" s="3" t="inlineStr">
        <is>
          <t>🐟 – cá; 🐔 – gà; 🐄 – bò</t>
        </is>
      </c>
      <c r="R55" s="3" t="inlineStr">
        <is>
          <t>🐟 cá, 🐔 gà, 🐄 bò.</t>
        </is>
      </c>
      <c r="S55" s="3" t="n"/>
      <c r="T55" s="22" t="n">
        <v>55</v>
      </c>
      <c r="U55" s="22">
        <f>INDEX(Khung_cap_do!$H$2:$H$6,F55)</f>
        <v/>
      </c>
      <c r="V55" s="22" t="n">
        <v>3</v>
      </c>
      <c r="W55" s="22" t="n">
        <v>4</v>
      </c>
      <c r="X55" s="3" t="inlineStr">
        <is>
          <t>V1.DOC.05</t>
        </is>
      </c>
      <c r="Y55" s="3" t="inlineStr">
        <is>
          <t>TV.NOITU</t>
        </is>
      </c>
      <c r="Z55" s="3" t="inlineStr">
        <is>
          <t>Soạn thêm</t>
        </is>
      </c>
      <c r="AA55" s="3" t="inlineStr"/>
      <c r="AB55" s="3" t="inlineStr">
        <is>
          <t>Đã đọc được cá, gà, bò.</t>
        </is>
      </c>
      <c r="AC55" s="3" t="inlineStr">
        <is>
          <t>Chương trình GDPT 2018 – Tiếng Việt 1; đối chiếu SGK Kết nối tri thức (Tập 1).</t>
        </is>
      </c>
      <c r="AD55" s="3" t="inlineStr">
        <is>
          <t>EduChain Kids soạn thêm (2026-10); bám chương trình GDPT 2018 và trình tự SGK đã chọn</t>
        </is>
      </c>
      <c r="AE55" s="3" t="inlineStr">
        <is>
          <t>Bản soạn mới — cần rà soát</t>
        </is>
      </c>
      <c r="AF55" s="3" t="inlineStr">
        <is>
          <t>Chờ giáo viên duyệt</t>
        </is>
      </c>
      <c r="AG55" s="3" t="n"/>
    </row>
    <row r="56">
      <c r="A56" s="3" t="inlineStr">
        <is>
          <t>EC1-078</t>
        </is>
      </c>
      <c r="B56" s="3" t="inlineStr">
        <is>
          <t>Tiếng Việt</t>
        </is>
      </c>
      <c r="C56" s="22" t="n">
        <v>1</v>
      </c>
      <c r="D56" s="3" t="inlineStr">
        <is>
          <t>Sau khi học vần ut, i</t>
        </is>
      </c>
      <c r="E56" s="3" t="inlineStr">
        <is>
          <t>Từ ngữ</t>
        </is>
      </c>
      <c r="F56" s="23" t="n">
        <v>2</v>
      </c>
      <c r="G56" s="3" t="inlineStr">
        <is>
          <t>Cơ bản</t>
        </is>
      </c>
      <c r="H56" s="22" t="n"/>
      <c r="I56" s="3" t="n"/>
      <c r="J56" s="3" t="inlineStr">
        <is>
          <t>Chọn đáp án</t>
        </is>
      </c>
      <c r="K56" s="3" t="inlineStr">
        <is>
          <t>Từ nào chỉ đồ dùng học tập?</t>
        </is>
      </c>
      <c r="L56" s="3" t="inlineStr">
        <is>
          <t>bút chì</t>
        </is>
      </c>
      <c r="M56" s="3" t="inlineStr">
        <is>
          <t>con cò</t>
        </is>
      </c>
      <c r="N56" s="3" t="inlineStr">
        <is>
          <t>quả na</t>
        </is>
      </c>
      <c r="O56" s="3" t="n"/>
      <c r="P56" s="3" t="n"/>
      <c r="Q56" s="3" t="inlineStr">
        <is>
          <t>A</t>
        </is>
      </c>
      <c r="R56" s="3" t="inlineStr">
        <is>
          <t>Bút chì là đồ dùng học tập.</t>
        </is>
      </c>
      <c r="S56" s="3" t="n"/>
      <c r="T56" s="22" t="n">
        <v>40</v>
      </c>
      <c r="U56" s="22">
        <f>INDEX(Khung_cap_do!$H$2:$H$6,F56)</f>
        <v/>
      </c>
      <c r="V56" s="22" t="n">
        <v>4</v>
      </c>
      <c r="W56" s="22" t="n">
        <v>3</v>
      </c>
      <c r="X56" s="3" t="inlineStr">
        <is>
          <t>V1.VIET.04</t>
        </is>
      </c>
      <c r="Y56" s="3" t="inlineStr">
        <is>
          <t>TV.TUNGU</t>
        </is>
      </c>
      <c r="Z56" s="3" t="inlineStr">
        <is>
          <t>Soạn thêm</t>
        </is>
      </c>
      <c r="AA56" s="3" t="inlineStr"/>
      <c r="AB56" s="3" t="inlineStr">
        <is>
          <t>Đã đọc được bút chì, con cò, quả na.</t>
        </is>
      </c>
      <c r="AC56" s="3" t="inlineStr">
        <is>
          <t>Chương trình GDPT 2018 – Tiếng Việt 1; đối chiếu SGK Kết nối tri thức (Tập 1).</t>
        </is>
      </c>
      <c r="AD56" s="3" t="inlineStr">
        <is>
          <t>EduChain Kids soạn thêm (2026-10); bám chương trình GDPT 2018 và trình tự SGK đã chọn</t>
        </is>
      </c>
      <c r="AE56" s="3" t="inlineStr">
        <is>
          <t>Bản soạn mới — cần rà soát</t>
        </is>
      </c>
      <c r="AF56" s="3" t="inlineStr">
        <is>
          <t>Chờ giáo viên duyệt</t>
        </is>
      </c>
      <c r="AG56" s="3" t="n"/>
    </row>
    <row r="57">
      <c r="A57" s="3" t="inlineStr">
        <is>
          <t>EC1-079</t>
        </is>
      </c>
      <c r="B57" s="3" t="inlineStr">
        <is>
          <t>Tiếng Việt</t>
        </is>
      </c>
      <c r="C57" s="22" t="n">
        <v>1</v>
      </c>
      <c r="D57" s="3" t="inlineStr">
        <is>
          <t>Sau khi học chữ g</t>
        </is>
      </c>
      <c r="E57" s="3" t="inlineStr">
        <is>
          <t>Ghép tiếng</t>
        </is>
      </c>
      <c r="F57" s="23" t="n">
        <v>2</v>
      </c>
      <c r="G57" s="3" t="inlineStr">
        <is>
          <t>Cơ bản</t>
        </is>
      </c>
      <c r="H57" s="22" t="n"/>
      <c r="I57" s="3" t="n"/>
      <c r="J57" s="3" t="inlineStr">
        <is>
          <t>Điền đáp án</t>
        </is>
      </c>
      <c r="K57" s="3" t="inlineStr">
        <is>
          <t>g ghép với a, thêm dấu huyền, được tiếng gì?</t>
        </is>
      </c>
      <c r="L57" s="3" t="n"/>
      <c r="M57" s="3" t="n"/>
      <c r="N57" s="3" t="n"/>
      <c r="O57" s="3" t="n"/>
      <c r="P57" s="3" t="n"/>
      <c r="Q57" s="3" t="inlineStr">
        <is>
          <t>gà</t>
        </is>
      </c>
      <c r="R57" s="3" t="inlineStr">
        <is>
          <t>g + a + dấu huyền = gà.</t>
        </is>
      </c>
      <c r="S57" s="3" t="n"/>
      <c r="T57" s="22" t="n">
        <v>50</v>
      </c>
      <c r="U57" s="22">
        <f>INDEX(Khung_cap_do!$H$2:$H$6,F57)</f>
        <v/>
      </c>
      <c r="V57" s="22" t="n">
        <v>4</v>
      </c>
      <c r="W57" s="22" t="n">
        <v>4</v>
      </c>
      <c r="X57" s="3" t="inlineStr">
        <is>
          <t>V1.DOC.01</t>
        </is>
      </c>
      <c r="Y57" s="3" t="inlineStr">
        <is>
          <t>TV.GHEPVAN</t>
        </is>
      </c>
      <c r="Z57" s="3" t="inlineStr">
        <is>
          <t>Soạn thêm</t>
        </is>
      </c>
      <c r="AA57" s="3" t="inlineStr"/>
      <c r="AB57" s="3" t="inlineStr">
        <is>
          <t>Đã học g, a, dấu huyền.</t>
        </is>
      </c>
      <c r="AC57" s="3" t="inlineStr">
        <is>
          <t>Chương trình GDPT 2018 – Tiếng Việt 1; đối chiếu SGK Kết nối tri thức (Tập 1).</t>
        </is>
      </c>
      <c r="AD57" s="3" t="inlineStr">
        <is>
          <t>EduChain Kids soạn thêm (2026-10); bám chương trình GDPT 2018 và trình tự SGK đã chọn</t>
        </is>
      </c>
      <c r="AE57" s="3" t="inlineStr">
        <is>
          <t>Bản soạn mới — cần rà soát</t>
        </is>
      </c>
      <c r="AF57" s="3" t="inlineStr">
        <is>
          <t>Chờ giáo viên duyệt</t>
        </is>
      </c>
      <c r="AG57" s="3" t="n"/>
    </row>
    <row r="58">
      <c r="A58" s="3" t="inlineStr">
        <is>
          <t>EC1-022</t>
        </is>
      </c>
      <c r="B58" s="3" t="inlineStr">
        <is>
          <t>Tiếng Việt</t>
        </is>
      </c>
      <c r="C58" s="22" t="n">
        <v>1</v>
      </c>
      <c r="D58" s="3" t="inlineStr">
        <is>
          <t>Sau khi học các tiếng trong câu</t>
        </is>
      </c>
      <c r="E58" s="3" t="inlineStr">
        <is>
          <t>Sắp xếp tiếng</t>
        </is>
      </c>
      <c r="F58" s="23" t="n">
        <v>3</v>
      </c>
      <c r="G58" s="3" t="inlineStr">
        <is>
          <t>Vận dụng</t>
        </is>
      </c>
      <c r="H58" s="22" t="n"/>
      <c r="I58" s="3" t="n"/>
      <c r="J58" s="3" t="inlineStr">
        <is>
          <t>Sắp xếp</t>
        </is>
      </c>
      <c r="K58" s="3" t="inlineStr">
        <is>
          <t>Sắp xếp thành câu: “đọc / Lan / sách”.</t>
        </is>
      </c>
      <c r="L58" s="3" t="n"/>
      <c r="M58" s="3" t="n"/>
      <c r="N58" s="3" t="n"/>
      <c r="O58" s="3" t="n"/>
      <c r="P58" s="3" t="n"/>
      <c r="Q58" s="3" t="inlineStr">
        <is>
          <t>Lan đọc sách.</t>
        </is>
      </c>
      <c r="R58" s="3" t="inlineStr">
        <is>
          <t>Sắp xếp thành câu có nghĩa.</t>
        </is>
      </c>
      <c r="S58" s="3" t="inlineStr">
        <is>
          <t>Câu cho biết ai (Lan) làm gì (đọc sách). Chữ đầu câu viết hoa: Lan đọc sách.</t>
        </is>
      </c>
      <c r="T58" s="22" t="n">
        <v>65</v>
      </c>
      <c r="U58" s="22">
        <f>INDEX(Khung_cap_do!$H$2:$H$6,F58)</f>
        <v/>
      </c>
      <c r="V58" s="22" t="n">
        <v>1</v>
      </c>
      <c r="W58" s="22" t="n">
        <v>5</v>
      </c>
      <c r="X58" s="3" t="inlineStr">
        <is>
          <t>V1.VIET.03</t>
        </is>
      </c>
      <c r="Y58" s="3" t="inlineStr">
        <is>
          <t>TV.XEPCAU</t>
        </is>
      </c>
      <c r="Z58" s="3" t="inlineStr">
        <is>
          <t>Bộ mẫu</t>
        </is>
      </c>
      <c r="AA58" s="3" t="inlineStr">
        <is>
          <t>[Sắp xếp] Sắp xếp thành câu: "đọc / Lan / sách".
Đáp án: Lan → đọc → sách</t>
        </is>
      </c>
      <c r="AB58" s="3" t="inlineStr">
        <is>
          <t>Các tiếng đã học; đã làm quen câu đơn giản.</t>
        </is>
      </c>
      <c r="AC58" s="3" t="inlineStr">
        <is>
          <t>Đề xuất bài tập; giáo viên duyệt.</t>
        </is>
      </c>
      <c r="AD58" s="3" t="inlineStr">
        <is>
          <t>Chương trình GDPT 2018 / kế hoạch dạy học của trường; đối chiếu văn bản hiện hành</t>
        </is>
      </c>
      <c r="AE58" s="3" t="inlineStr">
        <is>
          <t>Bản mẫu — cần rà soát</t>
        </is>
      </c>
      <c r="AF58" s="3" t="inlineStr">
        <is>
          <t>Chờ giáo viên duyệt</t>
        </is>
      </c>
      <c r="AG58" s="3" t="n"/>
    </row>
    <row r="59">
      <c r="A59" s="3" t="inlineStr">
        <is>
          <t>EC1-023</t>
        </is>
      </c>
      <c r="B59" s="3" t="inlineStr">
        <is>
          <t>Tiếng Việt</t>
        </is>
      </c>
      <c r="C59" s="22" t="n">
        <v>1</v>
      </c>
      <c r="D59" s="3" t="inlineStr">
        <is>
          <t>Sau khi học câu ngắn</t>
        </is>
      </c>
      <c r="E59" s="3" t="inlineStr">
        <is>
          <t>Đọc hiểu</t>
        </is>
      </c>
      <c r="F59" s="23" t="n">
        <v>3</v>
      </c>
      <c r="G59" s="3" t="inlineStr">
        <is>
          <t>Vận dụng</t>
        </is>
      </c>
      <c r="H59" s="22" t="n"/>
      <c r="I59" s="3" t="n"/>
      <c r="J59" s="3" t="inlineStr">
        <is>
          <t>Chọn đáp án</t>
        </is>
      </c>
      <c r="K59" s="3" t="inlineStr">
        <is>
          <t>Đọc: “Nam tưới cây.” Ai tưới cây?</t>
        </is>
      </c>
      <c r="L59" s="3" t="inlineStr">
        <is>
          <t>Nam</t>
        </is>
      </c>
      <c r="M59" s="3" t="inlineStr">
        <is>
          <t>Cây</t>
        </is>
      </c>
      <c r="N59" s="3" t="inlineStr">
        <is>
          <t>Không rõ</t>
        </is>
      </c>
      <c r="O59" s="3" t="n"/>
      <c r="P59" s="3" t="n"/>
      <c r="Q59" s="3" t="inlineStr">
        <is>
          <t>A</t>
        </is>
      </c>
      <c r="R59" s="3" t="inlineStr">
        <is>
          <t>Câu cho biết Nam là người tưới cây.</t>
        </is>
      </c>
      <c r="S59" s="3" t="inlineStr">
        <is>
          <t>Hỏi "Ai?" là hỏi người làm việc. Trong câu, người tưới cây là Nam.</t>
        </is>
      </c>
      <c r="T59" s="22" t="n">
        <v>50</v>
      </c>
      <c r="U59" s="22">
        <f>INDEX(Khung_cap_do!$H$2:$H$6,F59)</f>
        <v/>
      </c>
      <c r="V59" s="22" t="n">
        <v>1</v>
      </c>
      <c r="W59" s="22" t="n">
        <v>6</v>
      </c>
      <c r="X59" s="3" t="inlineStr">
        <is>
          <t>V1.DOC.04</t>
        </is>
      </c>
      <c r="Y59" s="3" t="inlineStr">
        <is>
          <t>TV.DOCHIEU</t>
        </is>
      </c>
      <c r="Z59" s="3" t="inlineStr">
        <is>
          <t>Bộ mẫu</t>
        </is>
      </c>
      <c r="AA59" s="3" t="inlineStr">
        <is>
          <t>[Chọn đáp án] Đọc: "Nam tưới cây." Ai tưới cây?
A. Nam | B. Cây | C. Không rõ
Đáp án: A</t>
        </is>
      </c>
      <c r="AB59" s="3" t="inlineStr">
        <is>
          <t>Đọc được câu hoặc có audio hỗ trợ.</t>
        </is>
      </c>
      <c r="AC59" s="3" t="inlineStr">
        <is>
          <t>Tìm thông tin trực tiếp.</t>
        </is>
      </c>
      <c r="AD59" s="3" t="inlineStr">
        <is>
          <t>Chương trình GDPT 2018 / kế hoạch dạy học của trường; đối chiếu văn bản hiện hành</t>
        </is>
      </c>
      <c r="AE59" s="3" t="inlineStr">
        <is>
          <t>Bản mẫu — cần rà soát</t>
        </is>
      </c>
      <c r="AF59" s="3" t="inlineStr">
        <is>
          <t>Chờ giáo viên duyệt</t>
        </is>
      </c>
      <c r="AG59" s="3" t="n"/>
    </row>
    <row r="60">
      <c r="A60" s="3" t="inlineStr">
        <is>
          <t>EC1-027</t>
        </is>
      </c>
      <c r="B60" s="3" t="inlineStr">
        <is>
          <t>Tiếng Việt</t>
        </is>
      </c>
      <c r="C60" s="22" t="n">
        <v>1</v>
      </c>
      <c r="D60" s="3" t="inlineStr">
        <is>
          <t>Sau khi học các từ đã dùng</t>
        </is>
      </c>
      <c r="E60" s="3" t="inlineStr">
        <is>
          <t>Chọn từ</t>
        </is>
      </c>
      <c r="F60" s="23" t="n">
        <v>3</v>
      </c>
      <c r="G60" s="3" t="inlineStr">
        <is>
          <t>Vận dụng</t>
        </is>
      </c>
      <c r="H60" s="22" t="n">
        <v>4</v>
      </c>
      <c r="I60" s="3" t="inlineStr">
        <is>
          <t>Chọn một từ hợp nghĩa trong câu ngắn, xếp L3.</t>
        </is>
      </c>
      <c r="J60" s="3" t="inlineStr">
        <is>
          <t>Chọn đáp án</t>
        </is>
      </c>
      <c r="K60" s="3" t="inlineStr">
        <is>
          <t>Hoàn thành câu: “Bé ___ nước.”</t>
        </is>
      </c>
      <c r="L60" s="3" t="inlineStr">
        <is>
          <t>uống</t>
        </is>
      </c>
      <c r="M60" s="3" t="inlineStr">
        <is>
          <t>xanh</t>
        </is>
      </c>
      <c r="N60" s="3" t="inlineStr">
        <is>
          <t>bàn</t>
        </is>
      </c>
      <c r="O60" s="3" t="n"/>
      <c r="P60" s="3" t="n"/>
      <c r="Q60" s="3" t="inlineStr">
        <is>
          <t>A</t>
        </is>
      </c>
      <c r="R60" s="3" t="inlineStr">
        <is>
          <t>“Uống” phù hợp với “nước”.</t>
        </is>
      </c>
      <c r="S60" s="3" t="inlineStr">
        <is>
          <t>Nước là thứ để uống: "Bé uống nước." Hai từ còn lại không tạo thành câu có nghĩa.</t>
        </is>
      </c>
      <c r="T60" s="22" t="n">
        <v>50</v>
      </c>
      <c r="U60" s="22">
        <f>INDEX(Khung_cap_do!$H$2:$H$6,F60)</f>
        <v/>
      </c>
      <c r="V60" s="22" t="n">
        <v>2</v>
      </c>
      <c r="W60" s="22" t="n">
        <v>5</v>
      </c>
      <c r="X60" s="3" t="inlineStr">
        <is>
          <t>V1.VIET.06</t>
        </is>
      </c>
      <c r="Y60" s="3" t="inlineStr">
        <is>
          <t>TV.DOCHIEU</t>
        </is>
      </c>
      <c r="Z60" s="3" t="inlineStr">
        <is>
          <t>Bộ mẫu</t>
        </is>
      </c>
      <c r="AA60" s="3" t="inlineStr">
        <is>
          <t>[Chọn đáp án] Hoàn thành câu: "Bé ___ nước."
A. uống | B. xanh | C. bàn
Đáp án: A</t>
        </is>
      </c>
      <c r="AB60" s="3" t="inlineStr">
        <is>
          <t>Đọc hiểu nghĩa cơ bản của các từ.</t>
        </is>
      </c>
      <c r="AC60" s="3" t="inlineStr">
        <is>
          <t>Đề xuất nội bộ; không phải chuẩn chính thức.</t>
        </is>
      </c>
      <c r="AD60" s="3" t="inlineStr">
        <is>
          <t>Chương trình GDPT 2018 / kế hoạch dạy học của trường; đối chiếu văn bản hiện hành</t>
        </is>
      </c>
      <c r="AE60" s="3" t="inlineStr">
        <is>
          <t>Bản mẫu — cần rà soát</t>
        </is>
      </c>
      <c r="AF60" s="3" t="inlineStr">
        <is>
          <t>Chờ giáo viên duyệt</t>
        </is>
      </c>
      <c r="AG60" s="3" t="n"/>
    </row>
    <row r="61">
      <c r="A61" s="3" t="inlineStr">
        <is>
          <t>EC1-080</t>
        </is>
      </c>
      <c r="B61" s="3" t="inlineStr">
        <is>
          <t>Tiếng Việt</t>
        </is>
      </c>
      <c r="C61" s="22" t="n">
        <v>1</v>
      </c>
      <c r="D61" s="3" t="inlineStr">
        <is>
          <t>Sau khi học các tiếng trong câu</t>
        </is>
      </c>
      <c r="E61" s="3" t="inlineStr">
        <is>
          <t>Sắp xếp tiếng</t>
        </is>
      </c>
      <c r="F61" s="23" t="n">
        <v>3</v>
      </c>
      <c r="G61" s="3" t="inlineStr">
        <is>
          <t>Vận dụng</t>
        </is>
      </c>
      <c r="H61" s="22" t="n"/>
      <c r="I61" s="3" t="n"/>
      <c r="J61" s="3" t="inlineStr">
        <is>
          <t>Sắp xếp</t>
        </is>
      </c>
      <c r="K61" s="3" t="inlineStr">
        <is>
          <t>Xếp thành câu: "bé / Mẹ / ru".
(Các mục: Mẹ / bé / ru)</t>
        </is>
      </c>
      <c r="L61" s="3" t="n"/>
      <c r="M61" s="3" t="n"/>
      <c r="N61" s="3" t="n"/>
      <c r="O61" s="3" t="n"/>
      <c r="P61" s="3" t="n"/>
      <c r="Q61" s="3" t="inlineStr">
        <is>
          <t>Mẹ → ru → bé</t>
        </is>
      </c>
      <c r="R61" s="3" t="inlineStr">
        <is>
          <t>Mẹ ru bé.</t>
        </is>
      </c>
      <c r="S61" s="3" t="inlineStr">
        <is>
          <t>Ai? – Mẹ. Làm gì? – ru bé. Chữ đầu câu viết hoa: Mẹ ru bé.</t>
        </is>
      </c>
      <c r="T61" s="22" t="n">
        <v>65</v>
      </c>
      <c r="U61" s="22">
        <f>INDEX(Khung_cap_do!$H$2:$H$6,F61)</f>
        <v/>
      </c>
      <c r="V61" s="22" t="n">
        <v>2</v>
      </c>
      <c r="W61" s="22" t="n">
        <v>6</v>
      </c>
      <c r="X61" s="3" t="inlineStr">
        <is>
          <t>V1.VIET.03</t>
        </is>
      </c>
      <c r="Y61" s="3" t="inlineStr">
        <is>
          <t>TV.XEPCAU</t>
        </is>
      </c>
      <c r="Z61" s="3" t="inlineStr">
        <is>
          <t>Soạn thêm</t>
        </is>
      </c>
      <c r="AA61" s="3" t="inlineStr"/>
      <c r="AB61" s="3" t="inlineStr">
        <is>
          <t>Đã đọc được mẹ, ru, bé.</t>
        </is>
      </c>
      <c r="AC61" s="3" t="inlineStr">
        <is>
          <t>Chương trình GDPT 2018 – Tiếng Việt 1; đối chiếu SGK Kết nối tri thức (Tập 1).</t>
        </is>
      </c>
      <c r="AD61" s="3" t="inlineStr">
        <is>
          <t>EduChain Kids soạn thêm (2026-10); bám chương trình GDPT 2018 và trình tự SGK đã chọn</t>
        </is>
      </c>
      <c r="AE61" s="3" t="inlineStr">
        <is>
          <t>Bản soạn mới — cần rà soát</t>
        </is>
      </c>
      <c r="AF61" s="3" t="inlineStr">
        <is>
          <t>Chờ giáo viên duyệt</t>
        </is>
      </c>
      <c r="AG61" s="3" t="n"/>
    </row>
    <row r="62">
      <c r="A62" s="3" t="inlineStr">
        <is>
          <t>EC1-081</t>
        </is>
      </c>
      <c r="B62" s="3" t="inlineStr">
        <is>
          <t>Tiếng Việt</t>
        </is>
      </c>
      <c r="C62" s="22" t="n">
        <v>1</v>
      </c>
      <c r="D62" s="3" t="inlineStr">
        <is>
          <t>Sau khi học câu ngắn</t>
        </is>
      </c>
      <c r="E62" s="3" t="inlineStr">
        <is>
          <t>Đọc hiểu</t>
        </is>
      </c>
      <c r="F62" s="23" t="n">
        <v>3</v>
      </c>
      <c r="G62" s="3" t="inlineStr">
        <is>
          <t>Vận dụng</t>
        </is>
      </c>
      <c r="H62" s="22" t="n"/>
      <c r="I62" s="3" t="n"/>
      <c r="J62" s="3" t="inlineStr">
        <is>
          <t>Chọn đáp án</t>
        </is>
      </c>
      <c r="K62" s="3" t="inlineStr">
        <is>
          <t>Đọc: "Bố đi làm. Mẹ đi chợ." Ai đi chợ?</t>
        </is>
      </c>
      <c r="L62" s="3" t="inlineStr">
        <is>
          <t>Mẹ</t>
        </is>
      </c>
      <c r="M62" s="3" t="inlineStr">
        <is>
          <t>Bố</t>
        </is>
      </c>
      <c r="N62" s="3" t="inlineStr">
        <is>
          <t>Bé</t>
        </is>
      </c>
      <c r="O62" s="3" t="n"/>
      <c r="P62" s="3" t="n"/>
      <c r="Q62" s="3" t="inlineStr">
        <is>
          <t>A</t>
        </is>
      </c>
      <c r="R62" s="3" t="inlineStr">
        <is>
          <t>Câu thứ hai: Mẹ đi chợ.</t>
        </is>
      </c>
      <c r="S62" s="3" t="inlineStr">
        <is>
          <t>Đoạn có hai câu: Bố đi làm; Mẹ đi chợ. Người đi chợ là Mẹ.</t>
        </is>
      </c>
      <c r="T62" s="22" t="n">
        <v>50</v>
      </c>
      <c r="U62" s="22">
        <f>INDEX(Khung_cap_do!$H$2:$H$6,F62)</f>
        <v/>
      </c>
      <c r="V62" s="22" t="n">
        <v>3</v>
      </c>
      <c r="W62" s="22" t="n">
        <v>5</v>
      </c>
      <c r="X62" s="3" t="inlineStr">
        <is>
          <t>V1.DOC.04</t>
        </is>
      </c>
      <c r="Y62" s="3" t="inlineStr">
        <is>
          <t>TV.DOCHIEU</t>
        </is>
      </c>
      <c r="Z62" s="3" t="inlineStr">
        <is>
          <t>Soạn thêm</t>
        </is>
      </c>
      <c r="AA62" s="3" t="inlineStr"/>
      <c r="AB62" s="3" t="inlineStr">
        <is>
          <t>Đã đọc được câu ngắn có các tiếng này.</t>
        </is>
      </c>
      <c r="AC62" s="3" t="inlineStr">
        <is>
          <t>Chương trình GDPT 2018 – Tiếng Việt 1; đối chiếu SGK Kết nối tri thức (Tập 1).</t>
        </is>
      </c>
      <c r="AD62" s="3" t="inlineStr">
        <is>
          <t>EduChain Kids soạn thêm (2026-10); bám chương trình GDPT 2018 và trình tự SGK đã chọn</t>
        </is>
      </c>
      <c r="AE62" s="3" t="inlineStr">
        <is>
          <t>Bản soạn mới — cần rà soát</t>
        </is>
      </c>
      <c r="AF62" s="3" t="inlineStr">
        <is>
          <t>Chờ giáo viên duyệt</t>
        </is>
      </c>
      <c r="AG62" s="3" t="n"/>
    </row>
    <row r="63">
      <c r="A63" s="3" t="inlineStr">
        <is>
          <t>EC1-082</t>
        </is>
      </c>
      <c r="B63" s="3" t="inlineStr">
        <is>
          <t>Tiếng Việt</t>
        </is>
      </c>
      <c r="C63" s="22" t="n">
        <v>1</v>
      </c>
      <c r="D63" s="3" t="inlineStr">
        <is>
          <t>Sau khi học vần ong, am</t>
        </is>
      </c>
      <c r="E63" s="3" t="inlineStr">
        <is>
          <t>Từ ngữ</t>
        </is>
      </c>
      <c r="F63" s="23" t="n">
        <v>3</v>
      </c>
      <c r="G63" s="3" t="inlineStr">
        <is>
          <t>Vận dụng</t>
        </is>
      </c>
      <c r="H63" s="22" t="n"/>
      <c r="I63" s="3" t="n"/>
      <c r="J63" s="3" t="inlineStr">
        <is>
          <t>Chọn nhiều đáp án</t>
        </is>
      </c>
      <c r="K63" s="3" t="inlineStr">
        <is>
          <t>Chọn TẤT CẢ từ chỉ con vật.</t>
        </is>
      </c>
      <c r="L63" s="3" t="inlineStr">
        <is>
          <t>con gà</t>
        </is>
      </c>
      <c r="M63" s="3" t="inlineStr">
        <is>
          <t>cái ghế</t>
        </is>
      </c>
      <c r="N63" s="3" t="inlineStr">
        <is>
          <t>con thỏ</t>
        </is>
      </c>
      <c r="O63" s="3" t="inlineStr">
        <is>
          <t>quả cam</t>
        </is>
      </c>
      <c r="P63" s="3" t="n"/>
      <c r="Q63" s="3" t="inlineStr">
        <is>
          <t>A, C</t>
        </is>
      </c>
      <c r="R63" s="3" t="inlineStr">
        <is>
          <t>Gà và thỏ là con vật.</t>
        </is>
      </c>
      <c r="S63" s="3" t="inlineStr">
        <is>
          <t>Con gà, con thỏ là con vật. Cái ghế là đồ vật, quả cam là quả.</t>
        </is>
      </c>
      <c r="T63" s="22" t="n">
        <v>60</v>
      </c>
      <c r="U63" s="22">
        <f>INDEX(Khung_cap_do!$H$2:$H$6,F63)</f>
        <v/>
      </c>
      <c r="V63" s="22" t="n">
        <v>3</v>
      </c>
      <c r="W63" s="22" t="n">
        <v>6</v>
      </c>
      <c r="X63" s="3" t="inlineStr">
        <is>
          <t>V1.VIET.04</t>
        </is>
      </c>
      <c r="Y63" s="3" t="inlineStr">
        <is>
          <t>TV.TUNGU</t>
        </is>
      </c>
      <c r="Z63" s="3" t="inlineStr">
        <is>
          <t>Soạn thêm</t>
        </is>
      </c>
      <c r="AA63" s="3" t="inlineStr"/>
      <c r="AB63" s="3" t="inlineStr">
        <is>
          <t>Đã đọc được các từ trong lựa chọn.</t>
        </is>
      </c>
      <c r="AC63" s="3" t="inlineStr">
        <is>
          <t>Chương trình GDPT 2018 – Tiếng Việt 1; đối chiếu SGK Kết nối tri thức (Tập 1).</t>
        </is>
      </c>
      <c r="AD63" s="3" t="inlineStr">
        <is>
          <t>EduChain Kids soạn thêm (2026-10); bám chương trình GDPT 2018 và trình tự SGK đã chọn</t>
        </is>
      </c>
      <c r="AE63" s="3" t="inlineStr">
        <is>
          <t>Bản soạn mới — cần rà soát</t>
        </is>
      </c>
      <c r="AF63" s="3" t="inlineStr">
        <is>
          <t>Chờ giáo viên duyệt</t>
        </is>
      </c>
      <c r="AG63" s="3" t="n"/>
    </row>
    <row r="64">
      <c r="A64" s="3" t="inlineStr">
        <is>
          <t>EC1-083</t>
        </is>
      </c>
      <c r="B64" s="3" t="inlineStr">
        <is>
          <t>Tiếng Việt</t>
        </is>
      </c>
      <c r="C64" s="22" t="n">
        <v>1</v>
      </c>
      <c r="D64" s="3" t="inlineStr">
        <is>
          <t>Sau khi học quy tắc g/gh</t>
        </is>
      </c>
      <c r="E64" s="3" t="inlineStr">
        <is>
          <t>Chính tả g/gh</t>
        </is>
      </c>
      <c r="F64" s="23" t="n">
        <v>3</v>
      </c>
      <c r="G64" s="3" t="inlineStr">
        <is>
          <t>Vận dụng</t>
        </is>
      </c>
      <c r="H64" s="22" t="n"/>
      <c r="I64" s="3" t="n"/>
      <c r="J64" s="3" t="inlineStr">
        <is>
          <t>Điền đáp án</t>
        </is>
      </c>
      <c r="K64" s="3" t="inlineStr">
        <is>
          <t>Điền g hoặc gh: cái ...ế</t>
        </is>
      </c>
      <c r="L64" s="3" t="n"/>
      <c r="M64" s="3" t="n"/>
      <c r="N64" s="3" t="n"/>
      <c r="O64" s="3" t="n"/>
      <c r="P64" s="3" t="n"/>
      <c r="Q64" s="3" t="inlineStr">
        <is>
          <t>gh</t>
        </is>
      </c>
      <c r="R64" s="3" t="inlineStr">
        <is>
          <t>Viết gh trước e, ê, i: cái ghế.</t>
        </is>
      </c>
      <c r="S64" s="3" t="inlineStr">
        <is>
          <t>Sau chữ cần điền là ê. Trước e, ê, i ta viết gh: cái ghế.</t>
        </is>
      </c>
      <c r="T64" s="22" t="n">
        <v>60</v>
      </c>
      <c r="U64" s="22">
        <f>INDEX(Khung_cap_do!$H$2:$H$6,F64)</f>
        <v/>
      </c>
      <c r="V64" s="22" t="n">
        <v>4</v>
      </c>
      <c r="W64" s="22" t="n">
        <v>5</v>
      </c>
      <c r="X64" s="3" t="inlineStr">
        <is>
          <t>V1.AM.04</t>
        </is>
      </c>
      <c r="Y64" s="3" t="inlineStr">
        <is>
          <t>TV.CHINHTA</t>
        </is>
      </c>
      <c r="Z64" s="3" t="inlineStr">
        <is>
          <t>Soạn thêm</t>
        </is>
      </c>
      <c r="AA64" s="3" t="inlineStr"/>
      <c r="AB64" s="3" t="inlineStr">
        <is>
          <t>Đã học g, gh và quy tắc chính tả.</t>
        </is>
      </c>
      <c r="AC64" s="3" t="inlineStr">
        <is>
          <t>Chương trình GDPT 2018 – Tiếng Việt 1; đối chiếu SGK Kết nối tri thức (Tập 1).</t>
        </is>
      </c>
      <c r="AD64" s="3" t="inlineStr">
        <is>
          <t>EduChain Kids soạn thêm (2026-10); bám chương trình GDPT 2018 và trình tự SGK đã chọn</t>
        </is>
      </c>
      <c r="AE64" s="3" t="inlineStr">
        <is>
          <t>Bản soạn mới — cần rà soát</t>
        </is>
      </c>
      <c r="AF64" s="3" t="inlineStr">
        <is>
          <t>Chờ giáo viên duyệt</t>
        </is>
      </c>
      <c r="AG64" s="3" t="n"/>
    </row>
    <row r="65">
      <c r="A65" s="3" t="inlineStr">
        <is>
          <t>EC1-084</t>
        </is>
      </c>
      <c r="B65" s="3" t="inlineStr">
        <is>
          <t>Tiếng Việt</t>
        </is>
      </c>
      <c r="C65" s="22" t="n">
        <v>1</v>
      </c>
      <c r="D65" s="3" t="inlineStr">
        <is>
          <t>Sau khi học quy tắc ng/ngh</t>
        </is>
      </c>
      <c r="E65" s="3" t="inlineStr">
        <is>
          <t>Chính tả ng/ngh</t>
        </is>
      </c>
      <c r="F65" s="23" t="n">
        <v>3</v>
      </c>
      <c r="G65" s="3" t="inlineStr">
        <is>
          <t>Vận dụng</t>
        </is>
      </c>
      <c r="H65" s="22" t="n"/>
      <c r="I65" s="3" t="n"/>
      <c r="J65" s="3" t="inlineStr">
        <is>
          <t>Chọn đáp án</t>
        </is>
      </c>
      <c r="K65" s="3" t="inlineStr">
        <is>
          <t>Chọn từ viết đúng chính tả.</t>
        </is>
      </c>
      <c r="L65" s="3" t="inlineStr">
        <is>
          <t>nghỉ hè</t>
        </is>
      </c>
      <c r="M65" s="3" t="inlineStr">
        <is>
          <t>ngỉ hè</t>
        </is>
      </c>
      <c r="N65" s="3" t="n"/>
      <c r="O65" s="3" t="n"/>
      <c r="P65" s="3" t="n"/>
      <c r="Q65" s="3" t="inlineStr">
        <is>
          <t>A</t>
        </is>
      </c>
      <c r="R65" s="3" t="inlineStr">
        <is>
          <t>Trước i viết ngh: nghỉ hè.</t>
        </is>
      </c>
      <c r="S65" s="3" t="inlineStr">
        <is>
          <t>Trước e, ê, i ta viết ngh. Vì vậy "nghỉ" viết ngh.</t>
        </is>
      </c>
      <c r="T65" s="22" t="n">
        <v>50</v>
      </c>
      <c r="U65" s="22">
        <f>INDEX(Khung_cap_do!$H$2:$H$6,F65)</f>
        <v/>
      </c>
      <c r="V65" s="22" t="n">
        <v>4</v>
      </c>
      <c r="W65" s="22" t="n">
        <v>6</v>
      </c>
      <c r="X65" s="3" t="inlineStr">
        <is>
          <t>V1.AM.04</t>
        </is>
      </c>
      <c r="Y65" s="3" t="inlineStr">
        <is>
          <t>TV.CHINHTA</t>
        </is>
      </c>
      <c r="Z65" s="3" t="inlineStr">
        <is>
          <t>Soạn thêm</t>
        </is>
      </c>
      <c r="AA65" s="3" t="inlineStr"/>
      <c r="AB65" s="3" t="inlineStr">
        <is>
          <t>Đã học ng, ngh và quy tắc chính tả.</t>
        </is>
      </c>
      <c r="AC65" s="3" t="inlineStr">
        <is>
          <t>Chương trình GDPT 2018 – Tiếng Việt 1; đối chiếu SGK Kết nối tri thức (Tập 1).</t>
        </is>
      </c>
      <c r="AD65" s="3" t="inlineStr">
        <is>
          <t>EduChain Kids soạn thêm (2026-10); bám chương trình GDPT 2018 và trình tự SGK đã chọn</t>
        </is>
      </c>
      <c r="AE65" s="3" t="inlineStr">
        <is>
          <t>Bản soạn mới — cần rà soát</t>
        </is>
      </c>
      <c r="AF65" s="3" t="inlineStr">
        <is>
          <t>Chờ giáo viên duyệt</t>
        </is>
      </c>
      <c r="AG65" s="3" t="n"/>
    </row>
    <row r="66">
      <c r="A66" s="3" t="inlineStr">
        <is>
          <t>EC1-025</t>
        </is>
      </c>
      <c r="B66" s="3" t="inlineStr">
        <is>
          <t>Tiếng Việt</t>
        </is>
      </c>
      <c r="C66" s="22" t="n">
        <v>1</v>
      </c>
      <c r="D66" s="3" t="inlineStr">
        <is>
          <t>Sau khi học dấu câu</t>
        </is>
      </c>
      <c r="E66" s="3" t="inlineStr">
        <is>
          <t>Dấu câu</t>
        </is>
      </c>
      <c r="F66" s="23" t="n">
        <v>4</v>
      </c>
      <c r="G66" s="3" t="inlineStr">
        <is>
          <t>Thử thách</t>
        </is>
      </c>
      <c r="H66" s="22" t="n"/>
      <c r="I66" s="3" t="n"/>
      <c r="J66" s="3" t="inlineStr">
        <is>
          <t>Chọn đáp án</t>
        </is>
      </c>
      <c r="K66" s="3" t="inlineStr">
        <is>
          <t>Chọn dấu cuối câu kể: “Em yêu trường em__”</t>
        </is>
      </c>
      <c r="L66" s="3" t="inlineStr">
        <is>
          <t>.</t>
        </is>
      </c>
      <c r="M66" s="3" t="inlineStr">
        <is>
          <t xml:space="preserve">? </t>
        </is>
      </c>
      <c r="N66" s="3" t="inlineStr">
        <is>
          <t>,</t>
        </is>
      </c>
      <c r="O66" s="3" t="n"/>
      <c r="P66" s="3" t="n"/>
      <c r="Q66" s="3" t="inlineStr">
        <is>
          <t>A</t>
        </is>
      </c>
      <c r="R66" s="3" t="inlineStr">
        <is>
          <t>Câu kể thông thường kết thúc bằng dấu chấm.</t>
        </is>
      </c>
      <c r="S66" s="3" t="inlineStr">
        <is>
          <t>Câu này kể lại điều em nghĩ, không phải câu hỏi, nên cuối câu dùng dấu chấm.</t>
        </is>
      </c>
      <c r="T66" s="22" t="n">
        <v>60</v>
      </c>
      <c r="U66" s="22">
        <f>INDEX(Khung_cap_do!$H$2:$H$6,F66)</f>
        <v/>
      </c>
      <c r="V66" s="22" t="n">
        <v>1</v>
      </c>
      <c r="W66" s="22" t="n">
        <v>7</v>
      </c>
      <c r="X66" s="3" t="inlineStr">
        <is>
          <t>V1.VIET.05</t>
        </is>
      </c>
      <c r="Y66" s="3" t="inlineStr">
        <is>
          <t>TV.DAUCAU</t>
        </is>
      </c>
      <c r="Z66" s="3" t="inlineStr">
        <is>
          <t>Bộ mẫu</t>
        </is>
      </c>
      <c r="AA66" s="3" t="inlineStr">
        <is>
          <t>[Chọn đáp án] Chọn dấu cuối câu kể: "Em yêu trường em__"
A. . | B. ? | C. ,
Đáp án: A</t>
        </is>
      </c>
      <c r="AB66" s="3" t="inlineStr">
        <is>
          <t>Dấu câu đã được dạy.</t>
        </is>
      </c>
      <c r="AC66" s="3" t="inlineStr">
        <is>
          <t>Xác nhận mốc dạy dấu câu.</t>
        </is>
      </c>
      <c r="AD66" s="3" t="inlineStr">
        <is>
          <t>Chương trình GDPT 2018 / kế hoạch dạy học của trường; đối chiếu văn bản hiện hành</t>
        </is>
      </c>
      <c r="AE66" s="3" t="inlineStr">
        <is>
          <t>Bản mẫu — cần rà soát</t>
        </is>
      </c>
      <c r="AF66" s="3" t="inlineStr">
        <is>
          <t>Chờ giáo viên duyệt</t>
        </is>
      </c>
      <c r="AG66" s="3" t="n"/>
    </row>
    <row r="67">
      <c r="A67" s="3" t="inlineStr">
        <is>
          <t>EC1-026</t>
        </is>
      </c>
      <c r="B67" s="3" t="inlineStr">
        <is>
          <t>Tiếng Việt</t>
        </is>
      </c>
      <c r="C67" s="22" t="n">
        <v>1</v>
      </c>
      <c r="D67" s="3" t="inlineStr">
        <is>
          <t>Sau khi học đọc câu ngắn</t>
        </is>
      </c>
      <c r="E67" s="3" t="inlineStr">
        <is>
          <t>Đọc hiểu</t>
        </is>
      </c>
      <c r="F67" s="23" t="n">
        <v>4</v>
      </c>
      <c r="G67" s="3" t="inlineStr">
        <is>
          <t>Thử thách</t>
        </is>
      </c>
      <c r="H67" s="22" t="n"/>
      <c r="I67" s="3" t="n"/>
      <c r="J67" s="3" t="inlineStr">
        <is>
          <t>Chọn đáp án</t>
        </is>
      </c>
      <c r="K67" s="3" t="inlineStr">
        <is>
          <t>Đọc: “Trời mưa. Hà mở ô.” Vì sao Hà mở ô?</t>
        </is>
      </c>
      <c r="L67" s="3" t="inlineStr">
        <is>
          <t>Vì trời mưa</t>
        </is>
      </c>
      <c r="M67" s="3" t="inlineStr">
        <is>
          <t>Vì trời nắng</t>
        </is>
      </c>
      <c r="N67" s="3" t="inlineStr">
        <is>
          <t>Vì Hà đi ngủ</t>
        </is>
      </c>
      <c r="O67" s="3" t="n"/>
      <c r="P67" s="3" t="n"/>
      <c r="Q67" s="3" t="inlineStr">
        <is>
          <t>A</t>
        </is>
      </c>
      <c r="R67" s="3" t="inlineStr">
        <is>
          <t>Hai câu gợi lý do Hà mở ô.</t>
        </is>
      </c>
      <c r="S67" s="3" t="inlineStr">
        <is>
          <t>Câu đầu cho biết trời mưa, câu sau Hà mở ô. Hà mở ô để che mưa.</t>
        </is>
      </c>
      <c r="T67" s="22" t="n">
        <v>60</v>
      </c>
      <c r="U67" s="22">
        <f>INDEX(Khung_cap_do!$H$2:$H$6,F67)</f>
        <v/>
      </c>
      <c r="V67" s="22" t="n">
        <v>1</v>
      </c>
      <c r="W67" s="22" t="n">
        <v>8</v>
      </c>
      <c r="X67" s="3" t="inlineStr">
        <is>
          <t>V1.DOC.04</t>
        </is>
      </c>
      <c r="Y67" s="3" t="inlineStr">
        <is>
          <t>TV.DOCHIEU</t>
        </is>
      </c>
      <c r="Z67" s="3" t="inlineStr">
        <is>
          <t>Bộ mẫu</t>
        </is>
      </c>
      <c r="AA67" s="3" t="inlineStr">
        <is>
          <t>[Chọn đáp án] Đọc: "Trời mưa. Hà mở ô." Vì sao Hà mở ô?
A. Vì trời mưa | B. Vì trời nắng | C. Vì Hà đi ngủ
Đáp án: A</t>
        </is>
      </c>
      <c r="AB67" s="3" t="inlineStr">
        <is>
          <t>Đọc được từ và câu trong đoạn.</t>
        </is>
      </c>
      <c r="AC67" s="3" t="inlineStr">
        <is>
          <t>Giáo viên rà soát vốn từ và vùng miền.</t>
        </is>
      </c>
      <c r="AD67" s="3" t="inlineStr">
        <is>
          <t>Chương trình GDPT 2018 / kế hoạch dạy học của trường; đối chiếu văn bản hiện hành</t>
        </is>
      </c>
      <c r="AE67" s="3" t="inlineStr">
        <is>
          <t>Bản mẫu — cần rà soát</t>
        </is>
      </c>
      <c r="AF67" s="3" t="inlineStr">
        <is>
          <t>Chờ giáo viên duyệt</t>
        </is>
      </c>
      <c r="AG67" s="3" t="n"/>
    </row>
    <row r="68">
      <c r="A68" s="3" t="inlineStr">
        <is>
          <t>EC1-028</t>
        </is>
      </c>
      <c r="B68" s="3" t="inlineStr">
        <is>
          <t>Tiếng Việt</t>
        </is>
      </c>
      <c r="C68" s="22" t="n">
        <v>1</v>
      </c>
      <c r="D68" s="3" t="inlineStr">
        <is>
          <t>Sau khi luyện đọc đoạn ngắn</t>
        </is>
      </c>
      <c r="E68" s="3" t="inlineStr">
        <is>
          <t>Đọc hiểu</t>
        </is>
      </c>
      <c r="F68" s="23" t="n">
        <v>4</v>
      </c>
      <c r="G68" s="3" t="inlineStr">
        <is>
          <t>Thử thách</t>
        </is>
      </c>
      <c r="H68" s="22" t="n">
        <v>5</v>
      </c>
      <c r="I68" s="3" t="inlineStr">
        <is>
          <t>Thông tin nằm sẵn trong câu (tường minh), xếp L4.</t>
        </is>
      </c>
      <c r="J68" s="3" t="inlineStr">
        <is>
          <t>Trả lời ngắn</t>
        </is>
      </c>
      <c r="K68" s="3" t="inlineStr">
        <is>
          <t>Đọc: “Minh có một cây bút. Minh cho bạn mượn bút.” Minh đã làm gì?</t>
        </is>
      </c>
      <c r="L68" s="3" t="n"/>
      <c r="M68" s="3" t="n"/>
      <c r="N68" s="3" t="n"/>
      <c r="O68" s="3" t="n"/>
      <c r="P68" s="3" t="n"/>
      <c r="Q68" s="3" t="inlineStr">
        <is>
          <t>Minh cho bạn mượn bút.</t>
        </is>
      </c>
      <c r="R68" s="3" t="inlineStr">
        <is>
          <t>Thông tin được nêu trực tiếp ở câu thứ hai.</t>
        </is>
      </c>
      <c r="S68" s="3" t="inlineStr">
        <is>
          <t>Câu thứ hai nói rõ: "Minh cho bạn mượn bút."</t>
        </is>
      </c>
      <c r="T68" s="22" t="n">
        <v>70</v>
      </c>
      <c r="U68" s="22">
        <f>INDEX(Khung_cap_do!$H$2:$H$6,F68)</f>
        <v/>
      </c>
      <c r="V68" s="22" t="n">
        <v>2</v>
      </c>
      <c r="W68" s="22" t="n">
        <v>7</v>
      </c>
      <c r="X68" s="3" t="inlineStr">
        <is>
          <t>V1.DOC.04</t>
        </is>
      </c>
      <c r="Y68" s="3" t="inlineStr">
        <is>
          <t>TV.DOCHIEU</t>
        </is>
      </c>
      <c r="Z68" s="3" t="inlineStr">
        <is>
          <t>Bộ mẫu</t>
        </is>
      </c>
      <c r="AA68" s="3" t="inlineStr">
        <is>
          <t>[Chọn đáp án] Đọc: "Minh có một cây bút. Minh cho bạn mượn bút." Minh đã làm gì?
A. Cho bạn mượn bút | B. Làm mất bút | C. Mua bút mới
Đáp án: A
Ghi chú: Bản app chuyển câu trả lời ngắn thành chọn đáp án.</t>
        </is>
      </c>
      <c r="AB68" s="3" t="inlineStr">
        <is>
          <t>Đã học từ và câu trong đoạn.</t>
        </is>
      </c>
      <c r="AC68" s="3" t="inlineStr">
        <is>
          <t>Giáo viên duyệt độ dài và vốn từ.</t>
        </is>
      </c>
      <c r="AD68" s="3" t="inlineStr">
        <is>
          <t>Chương trình GDPT 2018 / kế hoạch dạy học của trường; đối chiếu văn bản hiện hành</t>
        </is>
      </c>
      <c r="AE68" s="3" t="inlineStr">
        <is>
          <t>Bản mẫu — cần rà soát</t>
        </is>
      </c>
      <c r="AF68" s="3" t="inlineStr">
        <is>
          <t>Chờ giáo viên duyệt</t>
        </is>
      </c>
      <c r="AG68" s="3" t="n"/>
    </row>
    <row r="69">
      <c r="A69" s="3" t="inlineStr">
        <is>
          <t>EC1-085</t>
        </is>
      </c>
      <c r="B69" s="3" t="inlineStr">
        <is>
          <t>Tiếng Việt</t>
        </is>
      </c>
      <c r="C69" s="22" t="n">
        <v>1</v>
      </c>
      <c r="D69" s="3" t="inlineStr">
        <is>
          <t>Sau khi học vần an, iêm, ôi</t>
        </is>
      </c>
      <c r="E69" s="3" t="inlineStr">
        <is>
          <t>Đọc hiểu</t>
        </is>
      </c>
      <c r="F69" s="23" t="n">
        <v>4</v>
      </c>
      <c r="G69" s="3" t="inlineStr">
        <is>
          <t>Thử thách</t>
        </is>
      </c>
      <c r="H69" s="22" t="n"/>
      <c r="I69" s="3" t="n"/>
      <c r="J69" s="3" t="inlineStr">
        <is>
          <t>Chọn đáp án</t>
        </is>
      </c>
      <c r="K69" s="3" t="inlineStr">
        <is>
          <t>Đọc: "Gà mẹ dẫn đàn con đi kiếm mồi." Gà mẹ dẫn ai đi?</t>
        </is>
      </c>
      <c r="L69" s="3" t="inlineStr">
        <is>
          <t>Đàn gà con</t>
        </is>
      </c>
      <c r="M69" s="3" t="inlineStr">
        <is>
          <t>Chó con</t>
        </is>
      </c>
      <c r="N69" s="3" t="inlineStr">
        <is>
          <t>Bé Na</t>
        </is>
      </c>
      <c r="O69" s="3" t="n"/>
      <c r="P69" s="3" t="n"/>
      <c r="Q69" s="3" t="inlineStr">
        <is>
          <t>A</t>
        </is>
      </c>
      <c r="R69" s="3" t="inlineStr">
        <is>
          <t>Gà mẹ dẫn đàn con – đàn gà con.</t>
        </is>
      </c>
      <c r="S69" s="3" t="inlineStr">
        <is>
          <t>Câu viết "dẫn đàn con": đàn con của gà mẹ là đàn gà con.</t>
        </is>
      </c>
      <c r="T69" s="22" t="n">
        <v>60</v>
      </c>
      <c r="U69" s="22">
        <f>INDEX(Khung_cap_do!$H$2:$H$6,F69)</f>
        <v/>
      </c>
      <c r="V69" s="22" t="n">
        <v>2</v>
      </c>
      <c r="W69" s="22" t="n">
        <v>8</v>
      </c>
      <c r="X69" s="3" t="inlineStr">
        <is>
          <t>V1.DOC.04</t>
        </is>
      </c>
      <c r="Y69" s="3" t="inlineStr">
        <is>
          <t>TV.DOCHIEU</t>
        </is>
      </c>
      <c r="Z69" s="3" t="inlineStr">
        <is>
          <t>Soạn thêm</t>
        </is>
      </c>
      <c r="AA69" s="3" t="inlineStr"/>
      <c r="AB69" s="3" t="inlineStr">
        <is>
          <t>Đã đọc được câu có vần an, iêm, ôi.</t>
        </is>
      </c>
      <c r="AC69" s="3" t="inlineStr">
        <is>
          <t>Chương trình GDPT 2018 – Tiếng Việt 1; đối chiếu SGK Kết nối tri thức (Tập 1).</t>
        </is>
      </c>
      <c r="AD69" s="3" t="inlineStr">
        <is>
          <t>EduChain Kids soạn thêm (2026-10); bám chương trình GDPT 2018 và trình tự SGK đã chọn</t>
        </is>
      </c>
      <c r="AE69" s="3" t="inlineStr">
        <is>
          <t>Bản soạn mới — cần rà soát</t>
        </is>
      </c>
      <c r="AF69" s="3" t="inlineStr">
        <is>
          <t>Chờ giáo viên duyệt</t>
        </is>
      </c>
      <c r="AG69" s="3" t="n"/>
    </row>
    <row r="70">
      <c r="A70" s="3" t="inlineStr">
        <is>
          <t>EC1-086</t>
        </is>
      </c>
      <c r="B70" s="3" t="inlineStr">
        <is>
          <t>Tiếng Việt</t>
        </is>
      </c>
      <c r="C70" s="22" t="n">
        <v>1</v>
      </c>
      <c r="D70" s="3" t="inlineStr">
        <is>
          <t>Sau khi học dấu chấm hỏi</t>
        </is>
      </c>
      <c r="E70" s="3" t="inlineStr">
        <is>
          <t>Dấu câu</t>
        </is>
      </c>
      <c r="F70" s="23" t="n">
        <v>4</v>
      </c>
      <c r="G70" s="3" t="inlineStr">
        <is>
          <t>Thử thách</t>
        </is>
      </c>
      <c r="H70" s="22" t="n"/>
      <c r="I70" s="3" t="n"/>
      <c r="J70" s="3" t="inlineStr">
        <is>
          <t>Chọn đáp án</t>
        </is>
      </c>
      <c r="K70" s="3" t="inlineStr">
        <is>
          <t>Chọn dấu câu cho chỗ trống: "Bạn tên là gì__"</t>
        </is>
      </c>
      <c r="L70" s="3" t="inlineStr">
        <is>
          <t>?</t>
        </is>
      </c>
      <c r="M70" s="3" t="inlineStr">
        <is>
          <t>.</t>
        </is>
      </c>
      <c r="N70" s="3" t="n"/>
      <c r="O70" s="3" t="n"/>
      <c r="P70" s="3" t="n"/>
      <c r="Q70" s="3" t="inlineStr">
        <is>
          <t>A</t>
        </is>
      </c>
      <c r="R70" s="3" t="inlineStr">
        <is>
          <t>Câu hỏi kết thúc bằng dấu chấm hỏi.</t>
        </is>
      </c>
      <c r="S70" s="3" t="inlineStr">
        <is>
          <t>Câu có "gì" để hỏi tên bạn, nên cuối câu dùng dấu chấm hỏi.</t>
        </is>
      </c>
      <c r="T70" s="22" t="n">
        <v>60</v>
      </c>
      <c r="U70" s="22">
        <f>INDEX(Khung_cap_do!$H$2:$H$6,F70)</f>
        <v/>
      </c>
      <c r="V70" s="22" t="n">
        <v>3</v>
      </c>
      <c r="W70" s="22" t="n">
        <v>7</v>
      </c>
      <c r="X70" s="3" t="inlineStr">
        <is>
          <t>V1.VIET.05</t>
        </is>
      </c>
      <c r="Y70" s="3" t="inlineStr">
        <is>
          <t>TV.DAUCAU</t>
        </is>
      </c>
      <c r="Z70" s="3" t="inlineStr">
        <is>
          <t>Soạn thêm</t>
        </is>
      </c>
      <c r="AA70" s="3" t="inlineStr"/>
      <c r="AB70" s="3" t="inlineStr">
        <is>
          <t>Đã học dấu chấm, dấu chấm hỏi.</t>
        </is>
      </c>
      <c r="AC70" s="3" t="inlineStr">
        <is>
          <t>Chương trình GDPT 2018 – Tiếng Việt 1; đối chiếu SGK Kết nối tri thức (Tập 1).</t>
        </is>
      </c>
      <c r="AD70" s="3" t="inlineStr">
        <is>
          <t>EduChain Kids soạn thêm (2026-10); bám chương trình GDPT 2018 và trình tự SGK đã chọn</t>
        </is>
      </c>
      <c r="AE70" s="3" t="inlineStr">
        <is>
          <t>Bản soạn mới — cần rà soát</t>
        </is>
      </c>
      <c r="AF70" s="3" t="inlineStr">
        <is>
          <t>Chờ giáo viên duyệt</t>
        </is>
      </c>
      <c r="AG70" s="3" t="n"/>
    </row>
    <row r="71">
      <c r="A71" s="3" t="inlineStr">
        <is>
          <t>EC1-087</t>
        </is>
      </c>
      <c r="B71" s="3" t="inlineStr">
        <is>
          <t>Tiếng Việt</t>
        </is>
      </c>
      <c r="C71" s="22" t="n">
        <v>1</v>
      </c>
      <c r="D71" s="3" t="inlineStr">
        <is>
          <t>Sau khi học vần ăm, ai</t>
        </is>
      </c>
      <c r="E71" s="3" t="inlineStr">
        <is>
          <t>Sắp xếp tiếng</t>
        </is>
      </c>
      <c r="F71" s="23" t="n">
        <v>4</v>
      </c>
      <c r="G71" s="3" t="inlineStr">
        <is>
          <t>Thử thách</t>
        </is>
      </c>
      <c r="H71" s="22" t="n"/>
      <c r="I71" s="3" t="n"/>
      <c r="J71" s="3" t="inlineStr">
        <is>
          <t>Sắp xếp</t>
        </is>
      </c>
      <c r="K71" s="3" t="inlineStr">
        <is>
          <t>Xếp thành câu: "chăm / học / Hà / bài".
(Các mục: Hà / bài / chăm / học)</t>
        </is>
      </c>
      <c r="L71" s="3" t="n"/>
      <c r="M71" s="3" t="n"/>
      <c r="N71" s="3" t="n"/>
      <c r="O71" s="3" t="n"/>
      <c r="P71" s="3" t="n"/>
      <c r="Q71" s="3" t="inlineStr">
        <is>
          <t>Hà → chăm → học → bài</t>
        </is>
      </c>
      <c r="R71" s="3" t="inlineStr">
        <is>
          <t>Hà chăm học bài.</t>
        </is>
      </c>
      <c r="S71" s="3" t="inlineStr">
        <is>
          <t>Ai? – Hà. Thế nào? – chăm học bài. Câu: Hà chăm học bài.</t>
        </is>
      </c>
      <c r="T71" s="22" t="n">
        <v>75</v>
      </c>
      <c r="U71" s="22">
        <f>INDEX(Khung_cap_do!$H$2:$H$6,F71)</f>
        <v/>
      </c>
      <c r="V71" s="22" t="n">
        <v>3</v>
      </c>
      <c r="W71" s="22" t="n">
        <v>8</v>
      </c>
      <c r="X71" s="3" t="inlineStr">
        <is>
          <t>V1.VIET.03</t>
        </is>
      </c>
      <c r="Y71" s="3" t="inlineStr">
        <is>
          <t>TV.XEPCAU</t>
        </is>
      </c>
      <c r="Z71" s="3" t="inlineStr">
        <is>
          <t>Soạn thêm</t>
        </is>
      </c>
      <c r="AA71" s="3" t="inlineStr"/>
      <c r="AB71" s="3" t="inlineStr">
        <is>
          <t>Đã đọc được chăm, học, bài.</t>
        </is>
      </c>
      <c r="AC71" s="3" t="inlineStr">
        <is>
          <t>Chương trình GDPT 2018 – Tiếng Việt 1; đối chiếu SGK Kết nối tri thức (Tập 1).</t>
        </is>
      </c>
      <c r="AD71" s="3" t="inlineStr">
        <is>
          <t>EduChain Kids soạn thêm (2026-10); bám chương trình GDPT 2018 và trình tự SGK đã chọn</t>
        </is>
      </c>
      <c r="AE71" s="3" t="inlineStr">
        <is>
          <t>Bản soạn mới — cần rà soát</t>
        </is>
      </c>
      <c r="AF71" s="3" t="inlineStr">
        <is>
          <t>Chờ giáo viên duyệt</t>
        </is>
      </c>
      <c r="AG71" s="3" t="n"/>
    </row>
    <row r="72">
      <c r="A72" s="3" t="inlineStr">
        <is>
          <t>EC1-088</t>
        </is>
      </c>
      <c r="B72" s="3" t="inlineStr">
        <is>
          <t>Tiếng Việt</t>
        </is>
      </c>
      <c r="C72" s="22" t="n">
        <v>1</v>
      </c>
      <c r="D72" s="3" t="inlineStr">
        <is>
          <t>Sau khi học vần ay, an, anh</t>
        </is>
      </c>
      <c r="E72" s="3" t="inlineStr">
        <is>
          <t>Từ chỉ hoạt động</t>
        </is>
      </c>
      <c r="F72" s="23" t="n">
        <v>4</v>
      </c>
      <c r="G72" s="3" t="inlineStr">
        <is>
          <t>Thử thách</t>
        </is>
      </c>
      <c r="H72" s="22" t="n"/>
      <c r="I72" s="3" t="n"/>
      <c r="J72" s="3" t="inlineStr">
        <is>
          <t>Chọn nhiều đáp án</t>
        </is>
      </c>
      <c r="K72" s="3" t="inlineStr">
        <is>
          <t>Chọn TẤT CẢ từ chỉ hoạt động.</t>
        </is>
      </c>
      <c r="L72" s="3" t="inlineStr">
        <is>
          <t>chạy</t>
        </is>
      </c>
      <c r="M72" s="3" t="inlineStr">
        <is>
          <t>nhảy</t>
        </is>
      </c>
      <c r="N72" s="3" t="inlineStr">
        <is>
          <t>cái bàn</t>
        </is>
      </c>
      <c r="O72" s="3" t="inlineStr">
        <is>
          <t>xanh</t>
        </is>
      </c>
      <c r="P72" s="3" t="n"/>
      <c r="Q72" s="3" t="inlineStr">
        <is>
          <t>A, B</t>
        </is>
      </c>
      <c r="R72" s="3" t="inlineStr">
        <is>
          <t>Chạy, nhảy là hoạt động.</t>
        </is>
      </c>
      <c r="S72" s="3" t="inlineStr">
        <is>
          <t>Chạy, nhảy là việc mình làm (hoạt động). Cái bàn là đồ vật; xanh là màu sắc.</t>
        </is>
      </c>
      <c r="T72" s="22" t="n">
        <v>70</v>
      </c>
      <c r="U72" s="22">
        <f>INDEX(Khung_cap_do!$H$2:$H$6,F72)</f>
        <v/>
      </c>
      <c r="V72" s="22" t="n">
        <v>4</v>
      </c>
      <c r="W72" s="22" t="n">
        <v>7</v>
      </c>
      <c r="X72" s="3" t="inlineStr">
        <is>
          <t>V1.VIET.04</t>
        </is>
      </c>
      <c r="Y72" s="3" t="inlineStr">
        <is>
          <t>TV.TUNGU</t>
        </is>
      </c>
      <c r="Z72" s="3" t="inlineStr">
        <is>
          <t>Soạn thêm</t>
        </is>
      </c>
      <c r="AA72" s="3" t="inlineStr"/>
      <c r="AB72" s="3" t="inlineStr">
        <is>
          <t>Đã đọc được các từ trong lựa chọn.</t>
        </is>
      </c>
      <c r="AC72" s="3" t="inlineStr">
        <is>
          <t>Chương trình GDPT 2018 – Tiếng Việt 1; đối chiếu SGK Kết nối tri thức (Tập 1).</t>
        </is>
      </c>
      <c r="AD72" s="3" t="inlineStr">
        <is>
          <t>EduChain Kids soạn thêm (2026-10); bám chương trình GDPT 2018 và trình tự SGK đã chọn</t>
        </is>
      </c>
      <c r="AE72" s="3" t="inlineStr">
        <is>
          <t>Bản soạn mới — cần rà soát</t>
        </is>
      </c>
      <c r="AF72" s="3" t="inlineStr">
        <is>
          <t>Chờ giáo viên duyệt</t>
        </is>
      </c>
      <c r="AG72" s="3" t="n"/>
    </row>
    <row r="73">
      <c r="A73" s="3" t="inlineStr">
        <is>
          <t>EC1-089</t>
        </is>
      </c>
      <c r="B73" s="3" t="inlineStr">
        <is>
          <t>Tiếng Việt</t>
        </is>
      </c>
      <c r="C73" s="22" t="n">
        <v>1</v>
      </c>
      <c r="D73" s="3" t="inlineStr">
        <is>
          <t>Sau khi học vần ây, ơm, ục</t>
        </is>
      </c>
      <c r="E73" s="3" t="inlineStr">
        <is>
          <t>Đọc hiểu</t>
        </is>
      </c>
      <c r="F73" s="23" t="n">
        <v>4</v>
      </c>
      <c r="G73" s="3" t="inlineStr">
        <is>
          <t>Thử thách</t>
        </is>
      </c>
      <c r="H73" s="22" t="n"/>
      <c r="I73" s="3" t="n"/>
      <c r="J73" s="3" t="inlineStr">
        <is>
          <t>Đúng / Sai</t>
        </is>
      </c>
      <c r="K73" s="3" t="inlineStr">
        <is>
          <t>Đọc: "Sáng nay, bé dậy sớm tập thể dục." Bé dậy muộn, đúng hay sai?</t>
        </is>
      </c>
      <c r="L73" s="3" t="inlineStr">
        <is>
          <t>Đúng</t>
        </is>
      </c>
      <c r="M73" s="3" t="inlineStr">
        <is>
          <t>Sai</t>
        </is>
      </c>
      <c r="N73" s="3" t="n"/>
      <c r="O73" s="3" t="n"/>
      <c r="P73" s="3" t="n"/>
      <c r="Q73" s="3" t="inlineStr">
        <is>
          <t>B</t>
        </is>
      </c>
      <c r="R73" s="3" t="inlineStr">
        <is>
          <t>Bé dậy sớm, không phải dậy muộn.</t>
        </is>
      </c>
      <c r="S73" s="3" t="inlineStr">
        <is>
          <t>Câu viết "bé dậy sớm". "Muộn" ngược nghĩa với "sớm" nên nhận xét này sai.</t>
        </is>
      </c>
      <c r="T73" s="22" t="n">
        <v>70</v>
      </c>
      <c r="U73" s="22">
        <f>INDEX(Khung_cap_do!$H$2:$H$6,F73)</f>
        <v/>
      </c>
      <c r="V73" s="22" t="n">
        <v>4</v>
      </c>
      <c r="W73" s="22" t="n">
        <v>8</v>
      </c>
      <c r="X73" s="3" t="inlineStr">
        <is>
          <t>V1.DOC.04</t>
        </is>
      </c>
      <c r="Y73" s="3" t="inlineStr">
        <is>
          <t>TV.DOCHIEU</t>
        </is>
      </c>
      <c r="Z73" s="3" t="inlineStr">
        <is>
          <t>Soạn thêm</t>
        </is>
      </c>
      <c r="AA73" s="3" t="inlineStr"/>
      <c r="AB73" s="3" t="inlineStr">
        <is>
          <t>Đã đọc được câu ngắn có dấu phẩy.</t>
        </is>
      </c>
      <c r="AC73" s="3" t="inlineStr">
        <is>
          <t>Chương trình GDPT 2018 – Tiếng Việt 1; đối chiếu SGK Kết nối tri thức (Tập 1).</t>
        </is>
      </c>
      <c r="AD73" s="3" t="inlineStr">
        <is>
          <t>EduChain Kids soạn thêm (2026-10); bám chương trình GDPT 2018 và trình tự SGK đã chọn</t>
        </is>
      </c>
      <c r="AE73" s="3" t="inlineStr">
        <is>
          <t>Bản soạn mới — cần rà soát</t>
        </is>
      </c>
      <c r="AF73" s="3" t="inlineStr">
        <is>
          <t>Chờ giáo viên duyệt</t>
        </is>
      </c>
      <c r="AG73" s="3" t="n"/>
    </row>
    <row r="74">
      <c r="A74" s="3" t="inlineStr">
        <is>
          <t>EC1-029</t>
        </is>
      </c>
      <c r="B74" s="3" t="inlineStr">
        <is>
          <t>Tiếng Việt</t>
        </is>
      </c>
      <c r="C74" s="22" t="n">
        <v>1</v>
      </c>
      <c r="D74" s="3" t="inlineStr">
        <is>
          <t>Sau khi học câu/đoạn</t>
        </is>
      </c>
      <c r="E74" s="3" t="inlineStr">
        <is>
          <t>Suy luận đơn giản</t>
        </is>
      </c>
      <c r="F74" s="23" t="n">
        <v>5</v>
      </c>
      <c r="G74" s="3" t="inlineStr">
        <is>
          <t>Mở rộng</t>
        </is>
      </c>
      <c r="H74" s="22" t="n"/>
      <c r="I74" s="3" t="n"/>
      <c r="J74" s="3" t="inlineStr">
        <is>
          <t>Trả lời ngắn</t>
        </is>
      </c>
      <c r="K74" s="3" t="inlineStr">
        <is>
          <t>Đọc: “Trời lạnh. Bình mặc áo khoác.” Vì sao Bình mặc áo khoác?</t>
        </is>
      </c>
      <c r="L74" s="3" t="n"/>
      <c r="M74" s="3" t="n"/>
      <c r="N74" s="3" t="n"/>
      <c r="O74" s="3" t="n"/>
      <c r="P74" s="3" t="n"/>
      <c r="Q74" s="3" t="inlineStr">
        <is>
          <t>Vì trời lạnh.</t>
        </is>
      </c>
      <c r="R74" s="3" t="inlineStr">
        <is>
          <t>Suy ra lý do từ hai câu.</t>
        </is>
      </c>
      <c r="S74" s="3" t="inlineStr">
        <is>
          <t>Câu đầu cho biết trời lạnh. Mặc áo khoác để giữ ấm, nên Bình mặc áo vì trời lạnh.</t>
        </is>
      </c>
      <c r="T74" s="22" t="n">
        <v>85</v>
      </c>
      <c r="U74" s="22">
        <f>INDEX(Khung_cap_do!$H$2:$H$6,F74)</f>
        <v/>
      </c>
      <c r="V74" s="22" t="n">
        <v>1</v>
      </c>
      <c r="W74" s="22" t="n">
        <v>9</v>
      </c>
      <c r="X74" s="3" t="inlineStr">
        <is>
          <t>V1.DOC.04</t>
        </is>
      </c>
      <c r="Y74" s="3" t="inlineStr">
        <is>
          <t>TV.DOCHIEU</t>
        </is>
      </c>
      <c r="Z74" s="3" t="inlineStr">
        <is>
          <t>Bộ mẫu</t>
        </is>
      </c>
      <c r="AA74" s="3" t="inlineStr">
        <is>
          <t>[Chọn đáp án] Đọc: "Trời lạnh. Bình mặc áo khoác." Vì sao Bình mặc áo khoác?
A. Vì trời lạnh | B. Vì trời nắng | C. Vì Bình đi ngủ
Đáp án: A
Ghi chú: Bản app chuyển câu trả lời ngắn thành chọn đáp án.</t>
        </is>
      </c>
      <c r="AB74" s="3" t="inlineStr">
        <is>
          <t>Đã học các từ/cấu trúc trong đoạn.</t>
        </is>
      </c>
      <c r="AC74" s="3" t="inlineStr">
        <is>
          <t>Mở rộng nội bộ; cần giáo viên duyệt.</t>
        </is>
      </c>
      <c r="AD74" s="3" t="inlineStr">
        <is>
          <t>Chương trình GDPT 2018 / kế hoạch dạy học của trường; đối chiếu văn bản hiện hành</t>
        </is>
      </c>
      <c r="AE74" s="3" t="inlineStr">
        <is>
          <t>Bản mẫu — cần rà soát</t>
        </is>
      </c>
      <c r="AF74" s="3" t="inlineStr">
        <is>
          <t>Chờ giáo viên duyệt</t>
        </is>
      </c>
      <c r="AG74" s="3" t="n"/>
    </row>
    <row r="75">
      <c r="A75" s="3" t="inlineStr">
        <is>
          <t>EC1-030</t>
        </is>
      </c>
      <c r="B75" s="3" t="inlineStr">
        <is>
          <t>Tiếng Việt</t>
        </is>
      </c>
      <c r="C75" s="22" t="n">
        <v>1</v>
      </c>
      <c r="D75" s="3" t="inlineStr">
        <is>
          <t>Sau khi luyện viết câu ngắn</t>
        </is>
      </c>
      <c r="E75" s="3" t="inlineStr">
        <is>
          <t>Tạo câu</t>
        </is>
      </c>
      <c r="F75" s="23" t="n">
        <v>5</v>
      </c>
      <c r="G75" s="3" t="inlineStr">
        <is>
          <t>Mở rộng</t>
        </is>
      </c>
      <c r="H75" s="22" t="n"/>
      <c r="I75" s="3" t="n"/>
      <c r="J75" s="3" t="inlineStr">
        <is>
          <t>Trả lời ngắn</t>
        </is>
      </c>
      <c r="K75" s="3" t="inlineStr">
        <is>
          <t>Viết một câu ngắn có từ “mẹ”.</t>
        </is>
      </c>
      <c r="L75" s="3" t="n"/>
      <c r="M75" s="3" t="n"/>
      <c r="N75" s="3" t="n"/>
      <c r="O75" s="3" t="n"/>
      <c r="P75" s="3" t="n"/>
      <c r="Q75" s="3" t="inlineStr">
        <is>
          <t>Ví dụ: Mẹ yêu em.</t>
        </is>
      </c>
      <c r="R75" s="3" t="inlineStr">
        <is>
          <t>Chấp nhận nhiều câu phù hợp; cần rubric chấm.</t>
        </is>
      </c>
      <c r="S75" s="3" t="inlineStr">
        <is>
          <t>Ai? – Mẹ. Làm gì? – yêu em. Câu: Mẹ yêu em. (Khi viết câu tự do, giáo viên chấm theo rubric.)</t>
        </is>
      </c>
      <c r="T75" s="22" t="n">
        <v>90</v>
      </c>
      <c r="U75" s="22">
        <f>INDEX(Khung_cap_do!$H$2:$H$6,F75)</f>
        <v/>
      </c>
      <c r="V75" s="22" t="n">
        <v>1</v>
      </c>
      <c r="W75" s="22" t="n">
        <v>10</v>
      </c>
      <c r="X75" s="3" t="inlineStr">
        <is>
          <t>V1.VIET.03</t>
        </is>
      </c>
      <c r="Y75" s="3" t="inlineStr">
        <is>
          <t>TV.XEPCAU</t>
        </is>
      </c>
      <c r="Z75" s="3" t="inlineStr">
        <is>
          <t>Bộ mẫu</t>
        </is>
      </c>
      <c r="AA75" s="3" t="inlineStr">
        <is>
          <t>[Sắp xếp] Xếp thành câu có từ "mẹ": "yêu / em / Mẹ".
Đáp án: Mẹ → yêu → em
Ghi chú: Bản gốc là viết câu tự do (giáo viên chấm theo rubric); bản app là xếp từ thành câu.</t>
        </is>
      </c>
      <c r="AB75" s="3" t="inlineStr">
        <is>
          <t>Các chữ/tiếng trong câu đã học.</t>
        </is>
      </c>
      <c r="AC75" s="3" t="inlineStr">
        <is>
          <t>Không chấm chỉ bằng so khớp chuỗi; giáo viên duyệt rubric.</t>
        </is>
      </c>
      <c r="AD75" s="3" t="inlineStr">
        <is>
          <t>Chương trình GDPT 2018 / kế hoạch dạy học của trường; đối chiếu văn bản hiện hành</t>
        </is>
      </c>
      <c r="AE75" s="3" t="inlineStr">
        <is>
          <t>Bản mẫu — cần rà soát</t>
        </is>
      </c>
      <c r="AF75" s="3" t="inlineStr">
        <is>
          <t>Chờ giáo viên duyệt</t>
        </is>
      </c>
      <c r="AG75" s="3" t="n"/>
    </row>
    <row r="76">
      <c r="A76" s="3" t="inlineStr">
        <is>
          <t>EC1-090</t>
        </is>
      </c>
      <c r="B76" s="3" t="inlineStr">
        <is>
          <t>Tiếng Việt</t>
        </is>
      </c>
      <c r="C76" s="22" t="n">
        <v>1</v>
      </c>
      <c r="D76" s="3" t="inlineStr">
        <is>
          <t>Sau khi học vần ươi, ung, uôt</t>
        </is>
      </c>
      <c r="E76" s="3" t="inlineStr">
        <is>
          <t>Suy luận đơn giản</t>
        </is>
      </c>
      <c r="F76" s="23" t="n">
        <v>5</v>
      </c>
      <c r="G76" s="3" t="inlineStr">
        <is>
          <t>Mở rộng</t>
        </is>
      </c>
      <c r="H76" s="22" t="n"/>
      <c r="I76" s="3" t="n"/>
      <c r="J76" s="3" t="inlineStr">
        <is>
          <t>Chọn đáp án</t>
        </is>
      </c>
      <c r="K76" s="3" t="inlineStr">
        <is>
          <t>Đọc: "Mèo nằm sưởi nắng bên thềm. Thấy chuột, mèo vùng dậy." Vì sao mèo vùng dậy?</t>
        </is>
      </c>
      <c r="L76" s="3" t="inlineStr">
        <is>
          <t>Vì thấy chuột</t>
        </is>
      </c>
      <c r="M76" s="3" t="inlineStr">
        <is>
          <t>Vì trời mưa</t>
        </is>
      </c>
      <c r="N76" s="3" t="inlineStr">
        <is>
          <t>Vì bé gọi</t>
        </is>
      </c>
      <c r="O76" s="3" t="n"/>
      <c r="P76" s="3" t="n"/>
      <c r="Q76" s="3" t="inlineStr">
        <is>
          <t>A</t>
        </is>
      </c>
      <c r="R76" s="3" t="inlineStr">
        <is>
          <t>Câu thứ hai: thấy chuột, mèo vùng dậy.</t>
        </is>
      </c>
      <c r="S76" s="3" t="inlineStr">
        <is>
          <t>Mèo đang nằm sưởi nắng. "Thấy chuột, mèo vùng dậy" cho biết lý do là mèo thấy chuột.</t>
        </is>
      </c>
      <c r="T76" s="22" t="n">
        <v>85</v>
      </c>
      <c r="U76" s="22">
        <f>INDEX(Khung_cap_do!$H$2:$H$6,F76)</f>
        <v/>
      </c>
      <c r="V76" s="22" t="n">
        <v>2</v>
      </c>
      <c r="W76" s="22" t="n">
        <v>9</v>
      </c>
      <c r="X76" s="3" t="inlineStr">
        <is>
          <t>V1.DOC.04</t>
        </is>
      </c>
      <c r="Y76" s="3" t="inlineStr">
        <is>
          <t>TV.DOCHIEU</t>
        </is>
      </c>
      <c r="Z76" s="3" t="inlineStr">
        <is>
          <t>Soạn thêm</t>
        </is>
      </c>
      <c r="AA76" s="3" t="inlineStr"/>
      <c r="AB76" s="3" t="inlineStr">
        <is>
          <t>Đã đọc được đoạn hai câu.</t>
        </is>
      </c>
      <c r="AC76" s="3" t="inlineStr">
        <is>
          <t>Chương trình GDPT 2018 – Tiếng Việt 1; đối chiếu SGK Kết nối tri thức (Tập 1).</t>
        </is>
      </c>
      <c r="AD76" s="3" t="inlineStr">
        <is>
          <t>EduChain Kids soạn thêm (2026-10); bám chương trình GDPT 2018 và trình tự SGK đã chọn</t>
        </is>
      </c>
      <c r="AE76" s="3" t="inlineStr">
        <is>
          <t>Bản soạn mới — cần rà soát</t>
        </is>
      </c>
      <c r="AF76" s="3" t="inlineStr">
        <is>
          <t>Chờ giáo viên duyệt</t>
        </is>
      </c>
      <c r="AG76" s="3" t="n"/>
    </row>
    <row r="77">
      <c r="A77" s="3" t="inlineStr">
        <is>
          <t>EC1-091</t>
        </is>
      </c>
      <c r="B77" s="3" t="inlineStr">
        <is>
          <t>Tiếng Việt</t>
        </is>
      </c>
      <c r="C77" s="22" t="n">
        <v>1</v>
      </c>
      <c r="D77" s="3" t="inlineStr">
        <is>
          <t>Sau khi học vần ưc, anh, ăng</t>
        </is>
      </c>
      <c r="E77" s="3" t="inlineStr">
        <is>
          <t>Trình tự sự việc</t>
        </is>
      </c>
      <c r="F77" s="23" t="n">
        <v>5</v>
      </c>
      <c r="G77" s="3" t="inlineStr">
        <is>
          <t>Mở rộng</t>
        </is>
      </c>
      <c r="H77" s="22" t="n"/>
      <c r="I77" s="3" t="n"/>
      <c r="J77" s="3" t="inlineStr">
        <is>
          <t>Sắp xếp</t>
        </is>
      </c>
      <c r="K77" s="3" t="inlineStr">
        <is>
          <t>Xếp các câu theo đúng thứ tự việc làm buổi sáng.
(Các mục: Bé thức dậy. / Bé ăn sáng. / Bé đi học. / Bé đánh răng.)</t>
        </is>
      </c>
      <c r="L77" s="3" t="n"/>
      <c r="M77" s="3" t="n"/>
      <c r="N77" s="3" t="n"/>
      <c r="O77" s="3" t="n"/>
      <c r="P77" s="3" t="n"/>
      <c r="Q77" s="3" t="inlineStr">
        <is>
          <t>Bé thức dậy. → Bé đánh răng. → Bé ăn sáng. → Bé đi học.</t>
        </is>
      </c>
      <c r="R77" s="3" t="inlineStr">
        <is>
          <t>Thức dậy → đánh răng → ăn sáng → đi học.</t>
        </is>
      </c>
      <c r="S77" s="3" t="inlineStr">
        <is>
          <t>Việc đầu tiên là thức dậy, rồi đánh răng, ăn sáng, sau cùng mới đi học.</t>
        </is>
      </c>
      <c r="T77" s="22" t="n">
        <v>90</v>
      </c>
      <c r="U77" s="22">
        <f>INDEX(Khung_cap_do!$H$2:$H$6,F77)</f>
        <v/>
      </c>
      <c r="V77" s="22" t="n">
        <v>2</v>
      </c>
      <c r="W77" s="22" t="n">
        <v>10</v>
      </c>
      <c r="X77" s="3" t="inlineStr">
        <is>
          <t>V1.DOC.06</t>
        </is>
      </c>
      <c r="Y77" s="3" t="inlineStr">
        <is>
          <t>TV.XEPCAU</t>
        </is>
      </c>
      <c r="Z77" s="3" t="inlineStr">
        <is>
          <t>Soạn thêm</t>
        </is>
      </c>
      <c r="AA77" s="3" t="inlineStr"/>
      <c r="AB77" s="3" t="inlineStr">
        <is>
          <t>Đã đọc được câu ngắn.</t>
        </is>
      </c>
      <c r="AC77" s="3" t="inlineStr">
        <is>
          <t>Chương trình GDPT 2018 – Tiếng Việt 1; đối chiếu SGK Kết nối tri thức (Tập 1).</t>
        </is>
      </c>
      <c r="AD77" s="3" t="inlineStr">
        <is>
          <t>EduChain Kids soạn thêm (2026-10); bám chương trình GDPT 2018 và trình tự SGK đã chọn</t>
        </is>
      </c>
      <c r="AE77" s="3" t="inlineStr">
        <is>
          <t>Bản soạn mới — cần rà soát</t>
        </is>
      </c>
      <c r="AF77" s="3" t="inlineStr">
        <is>
          <t>Chờ giáo viên duyệt</t>
        </is>
      </c>
      <c r="AG77" s="3" t="n"/>
    </row>
    <row r="78">
      <c r="A78" s="3" t="inlineStr">
        <is>
          <t>EC1-092</t>
        </is>
      </c>
      <c r="B78" s="3" t="inlineStr">
        <is>
          <t>Tiếng Việt</t>
        </is>
      </c>
      <c r="C78" s="22" t="n">
        <v>1</v>
      </c>
      <c r="D78" s="3" t="inlineStr">
        <is>
          <t>Sau khi học vần an, ăn, ân</t>
        </is>
      </c>
      <c r="E78" s="3" t="inlineStr">
        <is>
          <t>Phân biệt vần</t>
        </is>
      </c>
      <c r="F78" s="23" t="n">
        <v>5</v>
      </c>
      <c r="G78" s="3" t="inlineStr">
        <is>
          <t>Mở rộng</t>
        </is>
      </c>
      <c r="H78" s="22" t="n"/>
      <c r="I78" s="3" t="n"/>
      <c r="J78" s="3" t="inlineStr">
        <is>
          <t>Chọn nhiều đáp án</t>
        </is>
      </c>
      <c r="K78" s="3" t="inlineStr">
        <is>
          <t>Chọn TẤT CẢ tiếng có vần "an".</t>
        </is>
      </c>
      <c r="L78" s="3" t="inlineStr">
        <is>
          <t>bàn</t>
        </is>
      </c>
      <c r="M78" s="3" t="inlineStr">
        <is>
          <t>cân</t>
        </is>
      </c>
      <c r="N78" s="3" t="inlineStr">
        <is>
          <t>lan</t>
        </is>
      </c>
      <c r="O78" s="3" t="inlineStr">
        <is>
          <t>sàn</t>
        </is>
      </c>
      <c r="P78" s="3" t="n"/>
      <c r="Q78" s="3" t="inlineStr">
        <is>
          <t>A, C, D</t>
        </is>
      </c>
      <c r="R78" s="3" t="inlineStr">
        <is>
          <t>bàn, lan, sàn có vần an; cân có vần ân.</t>
        </is>
      </c>
      <c r="S78" s="3" t="inlineStr">
        <is>
          <t>Tách vần: b–an, c–ân, l–an, s–an. "Cân" là vần ân nên không chọn.</t>
        </is>
      </c>
      <c r="T78" s="22" t="n">
        <v>85</v>
      </c>
      <c r="U78" s="22">
        <f>INDEX(Khung_cap_do!$H$2:$H$6,F78)</f>
        <v/>
      </c>
      <c r="V78" s="22" t="n">
        <v>3</v>
      </c>
      <c r="W78" s="22" t="n">
        <v>9</v>
      </c>
      <c r="X78" s="3" t="inlineStr">
        <is>
          <t>V1.AM.03</t>
        </is>
      </c>
      <c r="Y78" s="3" t="inlineStr">
        <is>
          <t>TV.GHEPVAN</t>
        </is>
      </c>
      <c r="Z78" s="3" t="inlineStr">
        <is>
          <t>Soạn thêm</t>
        </is>
      </c>
      <c r="AA78" s="3" t="inlineStr"/>
      <c r="AB78" s="3" t="inlineStr">
        <is>
          <t>Đã học vần an, ăn, ân.</t>
        </is>
      </c>
      <c r="AC78" s="3" t="inlineStr">
        <is>
          <t>Chương trình GDPT 2018 – Tiếng Việt 1; đối chiếu SGK Kết nối tri thức (Tập 1).</t>
        </is>
      </c>
      <c r="AD78" s="3" t="inlineStr">
        <is>
          <t>EduChain Kids soạn thêm (2026-10); bám chương trình GDPT 2018 và trình tự SGK đã chọn</t>
        </is>
      </c>
      <c r="AE78" s="3" t="inlineStr">
        <is>
          <t>Bản soạn mới — cần rà soát</t>
        </is>
      </c>
      <c r="AF78" s="3" t="inlineStr">
        <is>
          <t>Chờ giáo viên duyệt</t>
        </is>
      </c>
      <c r="AG78" s="3" t="n"/>
    </row>
    <row r="79">
      <c r="A79" s="3" t="inlineStr">
        <is>
          <t>EC1-093</t>
        </is>
      </c>
      <c r="B79" s="3" t="inlineStr">
        <is>
          <t>Tiếng Việt</t>
        </is>
      </c>
      <c r="C79" s="22" t="n">
        <v>1</v>
      </c>
      <c r="D79" s="3" t="inlineStr">
        <is>
          <t>Sau khi học vần ươi, ây, anh</t>
        </is>
      </c>
      <c r="E79" s="3" t="inlineStr">
        <is>
          <t>Suy luận đơn giản</t>
        </is>
      </c>
      <c r="F79" s="23" t="n">
        <v>5</v>
      </c>
      <c r="G79" s="3" t="inlineStr">
        <is>
          <t>Mở rộng</t>
        </is>
      </c>
      <c r="H79" s="22" t="n"/>
      <c r="I79" s="3" t="n"/>
      <c r="J79" s="3" t="inlineStr">
        <is>
          <t>Chọn đáp án</t>
        </is>
      </c>
      <c r="K79" s="3" t="inlineStr">
        <is>
          <t>Đọc: "Hà tưới cây mỗi ngày. Cây lớn nhanh và ra hoa đỏ." Vì sao cây lớn nhanh?</t>
        </is>
      </c>
      <c r="L79" s="3" t="inlineStr">
        <is>
          <t>Vì Hà tưới cây mỗi ngày</t>
        </is>
      </c>
      <c r="M79" s="3" t="inlineStr">
        <is>
          <t>Vì cây ở trong nhà</t>
        </is>
      </c>
      <c r="N79" s="3" t="inlineStr">
        <is>
          <t>Vì hoa màu đỏ</t>
        </is>
      </c>
      <c r="O79" s="3" t="n"/>
      <c r="P79" s="3" t="n"/>
      <c r="Q79" s="3" t="inlineStr">
        <is>
          <t>A</t>
        </is>
      </c>
      <c r="R79" s="3" t="inlineStr">
        <is>
          <t>Cây được tưới mỗi ngày nên lớn nhanh.</t>
        </is>
      </c>
      <c r="S79" s="3" t="inlineStr">
        <is>
          <t>Câu đầu cho biết Hà tưới cây mỗi ngày. Cây được chăm tưới nên lớn nhanh.</t>
        </is>
      </c>
      <c r="T79" s="22" t="n">
        <v>85</v>
      </c>
      <c r="U79" s="22">
        <f>INDEX(Khung_cap_do!$H$2:$H$6,F79)</f>
        <v/>
      </c>
      <c r="V79" s="22" t="n">
        <v>3</v>
      </c>
      <c r="W79" s="22" t="n">
        <v>10</v>
      </c>
      <c r="X79" s="3" t="inlineStr">
        <is>
          <t>V1.DOC.04</t>
        </is>
      </c>
      <c r="Y79" s="3" t="inlineStr">
        <is>
          <t>TV.DOCHIEU</t>
        </is>
      </c>
      <c r="Z79" s="3" t="inlineStr">
        <is>
          <t>Soạn thêm</t>
        </is>
      </c>
      <c r="AA79" s="3" t="inlineStr"/>
      <c r="AB79" s="3" t="inlineStr">
        <is>
          <t>Đã đọc được đoạn hai câu.</t>
        </is>
      </c>
      <c r="AC79" s="3" t="inlineStr">
        <is>
          <t>Chương trình GDPT 2018 – Tiếng Việt 1; đối chiếu SGK Kết nối tri thức (Tập 1).</t>
        </is>
      </c>
      <c r="AD79" s="3" t="inlineStr">
        <is>
          <t>EduChain Kids soạn thêm (2026-10); bám chương trình GDPT 2018 và trình tự SGK đã chọn</t>
        </is>
      </c>
      <c r="AE79" s="3" t="inlineStr">
        <is>
          <t>Bản soạn mới — cần rà soát</t>
        </is>
      </c>
      <c r="AF79" s="3" t="inlineStr">
        <is>
          <t>Chờ giáo viên duyệt</t>
        </is>
      </c>
      <c r="AG79" s="3" t="n"/>
    </row>
    <row r="80">
      <c r="A80" s="3" t="inlineStr">
        <is>
          <t>EC1-094</t>
        </is>
      </c>
      <c r="B80" s="3" t="inlineStr">
        <is>
          <t>Tiếng Việt</t>
        </is>
      </c>
      <c r="C80" s="22" t="n">
        <v>1</v>
      </c>
      <c r="D80" s="3" t="inlineStr">
        <is>
          <t>Cuối học kì 1 (mở rộng)</t>
        </is>
      </c>
      <c r="E80" s="3" t="inlineStr">
        <is>
          <t>Câu tục ngữ quen thuộc</t>
        </is>
      </c>
      <c r="F80" s="23" t="n">
        <v>5</v>
      </c>
      <c r="G80" s="3" t="inlineStr">
        <is>
          <t>Mở rộng</t>
        </is>
      </c>
      <c r="H80" s="22" t="n"/>
      <c r="I80" s="3" t="n"/>
      <c r="J80" s="3" t="inlineStr">
        <is>
          <t>Điền đáp án</t>
        </is>
      </c>
      <c r="K80" s="3" t="inlineStr">
        <is>
          <t>Điền tiếng còn thiếu: "Ăn quả nhớ kẻ trồng ..."</t>
        </is>
      </c>
      <c r="L80" s="3" t="n"/>
      <c r="M80" s="3" t="n"/>
      <c r="N80" s="3" t="n"/>
      <c r="O80" s="3" t="n"/>
      <c r="P80" s="3" t="n"/>
      <c r="Q80" s="3" t="inlineStr">
        <is>
          <t>cây</t>
        </is>
      </c>
      <c r="R80" s="3" t="inlineStr">
        <is>
          <t>Ăn quả nhớ kẻ trồng cây.</t>
        </is>
      </c>
      <c r="S80" s="3" t="inlineStr">
        <is>
          <t>Quả mọc trên cây, người trồng cây cho ta quả ăn: "Ăn quả nhớ kẻ trồng cây."</t>
        </is>
      </c>
      <c r="T80" s="22" t="n">
        <v>85</v>
      </c>
      <c r="U80" s="22">
        <f>INDEX(Khung_cap_do!$H$2:$H$6,F80)</f>
        <v/>
      </c>
      <c r="V80" s="22" t="n">
        <v>4</v>
      </c>
      <c r="W80" s="22" t="n">
        <v>9</v>
      </c>
      <c r="X80" s="3" t="inlineStr">
        <is>
          <t>V1.VIET.06</t>
        </is>
      </c>
      <c r="Y80" s="3" t="inlineStr">
        <is>
          <t>TV.GHEPVAN</t>
        </is>
      </c>
      <c r="Z80" s="3" t="inlineStr">
        <is>
          <t>Soạn thêm</t>
        </is>
      </c>
      <c r="AA80" s="3" t="inlineStr"/>
      <c r="AB80" s="3" t="inlineStr">
        <is>
          <t>Đã đọc được các tiếng trong câu.</t>
        </is>
      </c>
      <c r="AC80" s="3" t="inlineStr">
        <is>
          <t>Chương trình GDPT 2018 – Tiếng Việt 1; đối chiếu SGK Kết nối tri thức (Tập 1).</t>
        </is>
      </c>
      <c r="AD80" s="3" t="inlineStr">
        <is>
          <t>EduChain Kids soạn thêm (2026-10); bám chương trình GDPT 2018 và trình tự SGK đã chọn</t>
        </is>
      </c>
      <c r="AE80" s="3" t="inlineStr">
        <is>
          <t>Bản soạn mới — cần rà soát</t>
        </is>
      </c>
      <c r="AF80" s="3" t="inlineStr">
        <is>
          <t>Chờ giáo viên duyệt</t>
        </is>
      </c>
      <c r="AG80" s="3" t="n"/>
    </row>
    <row r="81">
      <c r="A81" s="3" t="inlineStr">
        <is>
          <t>EC1-095</t>
        </is>
      </c>
      <c r="B81" s="3" t="inlineStr">
        <is>
          <t>Tiếng Việt</t>
        </is>
      </c>
      <c r="C81" s="22" t="n">
        <v>1</v>
      </c>
      <c r="D81" s="3" t="inlineStr">
        <is>
          <t>Cuối học kì 1 (mở rộng)</t>
        </is>
      </c>
      <c r="E81" s="3" t="inlineStr">
        <is>
          <t>Từ ngữ chỉ đặc điểm</t>
        </is>
      </c>
      <c r="F81" s="23" t="n">
        <v>5</v>
      </c>
      <c r="G81" s="3" t="inlineStr">
        <is>
          <t>Mở rộng</t>
        </is>
      </c>
      <c r="H81" s="22" t="n"/>
      <c r="I81" s="3" t="n"/>
      <c r="J81" s="3" t="inlineStr">
        <is>
          <t>Ghép cặp</t>
        </is>
      </c>
      <c r="K81" s="3" t="inlineStr">
        <is>
          <t>Nối từ với từ có nghĩa ngược lại.
(Vế trái: to / cao / dài · Vế phải: ngắn / nhỏ / thấp)</t>
        </is>
      </c>
      <c r="L81" s="3" t="n"/>
      <c r="M81" s="3" t="n"/>
      <c r="N81" s="3" t="n"/>
      <c r="O81" s="3" t="n"/>
      <c r="P81" s="3" t="n"/>
      <c r="Q81" s="3" t="inlineStr">
        <is>
          <t>to – nhỏ; cao – thấp; dài – ngắn</t>
        </is>
      </c>
      <c r="R81" s="3" t="inlineStr">
        <is>
          <t>to – nhỏ, cao – thấp, dài – ngắn.</t>
        </is>
      </c>
      <c r="S81" s="3" t="inlineStr">
        <is>
          <t>Cái to ngược với cái nhỏ; cao ngược với thấp; dài ngược với ngắn.</t>
        </is>
      </c>
      <c r="T81" s="22" t="n">
        <v>90</v>
      </c>
      <c r="U81" s="22">
        <f>INDEX(Khung_cap_do!$H$2:$H$6,F81)</f>
        <v/>
      </c>
      <c r="V81" s="22" t="n">
        <v>4</v>
      </c>
      <c r="W81" s="22" t="n">
        <v>10</v>
      </c>
      <c r="X81" s="3" t="inlineStr">
        <is>
          <t>V1.VIET.04</t>
        </is>
      </c>
      <c r="Y81" s="3" t="inlineStr">
        <is>
          <t>TV.NOITU</t>
        </is>
      </c>
      <c r="Z81" s="3" t="inlineStr">
        <is>
          <t>Soạn thêm</t>
        </is>
      </c>
      <c r="AA81" s="3" t="inlineStr"/>
      <c r="AB81" s="3" t="inlineStr">
        <is>
          <t>Đã đọc được các từ trong bài.</t>
        </is>
      </c>
      <c r="AC81" s="3" t="inlineStr">
        <is>
          <t>Chương trình GDPT 2018 – Tiếng Việt 1; đối chiếu SGK Kết nối tri thức (Tập 1).</t>
        </is>
      </c>
      <c r="AD81" s="3" t="inlineStr">
        <is>
          <t>EduChain Kids soạn thêm (2026-10); bám chương trình GDPT 2018 và trình tự SGK đã chọn</t>
        </is>
      </c>
      <c r="AE81" s="3" t="inlineStr">
        <is>
          <t>Bản soạn mới — cần rà soát</t>
        </is>
      </c>
      <c r="AF81" s="3" t="inlineStr">
        <is>
          <t>Chờ giáo viên duyệt</t>
        </is>
      </c>
      <c r="AG81" s="3" t="n"/>
    </row>
    <row r="82">
      <c r="A82" s="3" t="inlineStr">
        <is>
          <t>EC1-031</t>
        </is>
      </c>
      <c r="B82" s="3" t="inlineStr">
        <is>
          <t>Tiếng Anh</t>
        </is>
      </c>
      <c r="C82" s="22" t="n">
        <v>1</v>
      </c>
      <c r="D82" s="3" t="inlineStr">
        <is>
          <t>Theo chương trình trường lựa chọn</t>
        </is>
      </c>
      <c r="E82" s="3" t="inlineStr">
        <is>
          <t>Greetings</t>
        </is>
      </c>
      <c r="F82" s="23" t="n">
        <v>1</v>
      </c>
      <c r="G82" s="3" t="inlineStr">
        <is>
          <t>Làm quen</t>
        </is>
      </c>
      <c r="H82" s="22" t="n"/>
      <c r="I82" s="3" t="n"/>
      <c r="J82" s="3" t="inlineStr">
        <is>
          <t>Chọn đáp án</t>
        </is>
      </c>
      <c r="K82" s="3" t="inlineStr">
        <is>
          <t>Nghe “Hello”. Chọn lời chào phù hợp.</t>
        </is>
      </c>
      <c r="L82" s="3" t="inlineStr">
        <is>
          <t>Hello</t>
        </is>
      </c>
      <c r="M82" s="3" t="inlineStr">
        <is>
          <t>Goodbye</t>
        </is>
      </c>
      <c r="N82" s="3" t="inlineStr">
        <is>
          <t>Thank you</t>
        </is>
      </c>
      <c r="O82" s="3" t="n"/>
      <c r="P82" s="3" t="n"/>
      <c r="Q82" s="3" t="inlineStr">
        <is>
          <t>A</t>
        </is>
      </c>
      <c r="R82" s="3" t="inlineStr">
        <is>
          <t>Hello là lời chào.</t>
        </is>
      </c>
      <c r="S82" s="3" t="n"/>
      <c r="T82" s="22" t="n">
        <v>30</v>
      </c>
      <c r="U82" s="22">
        <f>INDEX(Khung_cap_do!$H$2:$H$6,F82)</f>
        <v/>
      </c>
      <c r="V82" s="22" t="n">
        <v>1</v>
      </c>
      <c r="W82" s="22" t="n">
        <v>1</v>
      </c>
      <c r="X82" s="3" t="inlineStr">
        <is>
          <t>A1.HELLO.01</t>
        </is>
      </c>
      <c r="Y82" s="3" t="inlineStr">
        <is>
          <t>TA.TUVUNG</t>
        </is>
      </c>
      <c r="Z82" s="3" t="inlineStr">
        <is>
          <t>Bộ mẫu</t>
        </is>
      </c>
      <c r="AA82" s="3" t="inlineStr">
        <is>
          <t>[Chọn đáp án] Nghe "Hello". Chọn lời chào phù hợp.
A. Hello | B. Goodbye | C. Thank you
Đáp án: A</t>
        </is>
      </c>
      <c r="AB82" s="3" t="inlineStr">
        <is>
          <t>Từ Hello đã được dạy.</t>
        </is>
      </c>
      <c r="AC82" s="3" t="inlineStr">
        <is>
          <t>Tiếng Anh lớp 1 phụ thuộc kế hoạch/giáo trình của trường.</t>
        </is>
      </c>
      <c r="AD82" s="3" t="inlineStr">
        <is>
          <t>Chương trình GDPT 2018 / kế hoạch dạy học của trường; đối chiếu văn bản hiện hành</t>
        </is>
      </c>
      <c r="AE82" s="3" t="inlineStr">
        <is>
          <t>Bản mẫu — cần rà soát</t>
        </is>
      </c>
      <c r="AF82" s="3" t="inlineStr">
        <is>
          <t>Chờ giáo viên duyệt</t>
        </is>
      </c>
      <c r="AG82" s="3" t="inlineStr">
        <is>
          <t>Cần bổ sung audio được kiểm duyệt.</t>
        </is>
      </c>
    </row>
    <row r="83">
      <c r="A83" s="3" t="inlineStr">
        <is>
          <t>EC1-032</t>
        </is>
      </c>
      <c r="B83" s="3" t="inlineStr">
        <is>
          <t>Tiếng Anh</t>
        </is>
      </c>
      <c r="C83" s="22" t="n">
        <v>1</v>
      </c>
      <c r="D83" s="3" t="inlineStr">
        <is>
          <t>Theo chương trình trường lựa chọn</t>
        </is>
      </c>
      <c r="E83" s="3" t="inlineStr">
        <is>
          <t>Colours</t>
        </is>
      </c>
      <c r="F83" s="23" t="n">
        <v>1</v>
      </c>
      <c r="G83" s="3" t="inlineStr">
        <is>
          <t>Làm quen</t>
        </is>
      </c>
      <c r="H83" s="22" t="n"/>
      <c r="I83" s="3" t="n"/>
      <c r="J83" s="3" t="inlineStr">
        <is>
          <t>Chọn đáp án</t>
        </is>
      </c>
      <c r="K83" s="3" t="inlineStr">
        <is>
          <t>Nghe “red”. Chọn màu phù hợp.</t>
        </is>
      </c>
      <c r="L83" s="3" t="inlineStr">
        <is>
          <t>Đỏ</t>
        </is>
      </c>
      <c r="M83" s="3" t="inlineStr">
        <is>
          <t>Xanh dương</t>
        </is>
      </c>
      <c r="N83" s="3" t="inlineStr">
        <is>
          <t>Vàng</t>
        </is>
      </c>
      <c r="O83" s="3" t="n"/>
      <c r="P83" s="3" t="n"/>
      <c r="Q83" s="3" t="inlineStr">
        <is>
          <t>A</t>
        </is>
      </c>
      <c r="R83" s="3" t="inlineStr">
        <is>
          <t>Red nghĩa là màu đỏ.</t>
        </is>
      </c>
      <c r="S83" s="3" t="n"/>
      <c r="T83" s="22" t="n">
        <v>30</v>
      </c>
      <c r="U83" s="22">
        <f>INDEX(Khung_cap_do!$H$2:$H$6,F83)</f>
        <v/>
      </c>
      <c r="V83" s="22" t="n">
        <v>1</v>
      </c>
      <c r="W83" s="22" t="n">
        <v>2</v>
      </c>
      <c r="X83" s="3" t="inlineStr">
        <is>
          <t>A1.COLOUR.01</t>
        </is>
      </c>
      <c r="Y83" s="3" t="inlineStr">
        <is>
          <t>TA.TUVUNG</t>
        </is>
      </c>
      <c r="Z83" s="3" t="inlineStr">
        <is>
          <t>Bộ mẫu</t>
        </is>
      </c>
      <c r="AA83" s="3" t="inlineStr">
        <is>
          <t>[Chọn đáp án] Nghe "red". Chọn màu phù hợp.
A. Đỏ | B. Xanh dương | C. Vàng
Đáp án: A</t>
        </is>
      </c>
      <c r="AB83" s="3" t="inlineStr">
        <is>
          <t>Red đã được dạy.</t>
        </is>
      </c>
      <c r="AC83" s="3" t="inlineStr">
        <is>
          <t>Bài mẫu tùy theo chương trình tiếng Anh trường chọn.</t>
        </is>
      </c>
      <c r="AD83" s="3" t="inlineStr">
        <is>
          <t>Chương trình GDPT 2018 / kế hoạch dạy học của trường; đối chiếu văn bản hiện hành</t>
        </is>
      </c>
      <c r="AE83" s="3" t="inlineStr">
        <is>
          <t>Bản mẫu — cần rà soát</t>
        </is>
      </c>
      <c r="AF83" s="3" t="inlineStr">
        <is>
          <t>Chờ giáo viên duyệt</t>
        </is>
      </c>
      <c r="AG83" s="3" t="n"/>
    </row>
    <row r="84">
      <c r="A84" s="3" t="inlineStr">
        <is>
          <t>EC1-033</t>
        </is>
      </c>
      <c r="B84" s="3" t="inlineStr">
        <is>
          <t>Tiếng Anh</t>
        </is>
      </c>
      <c r="C84" s="22" t="n">
        <v>1</v>
      </c>
      <c r="D84" s="3" t="inlineStr">
        <is>
          <t>Theo chương trình trường lựa chọn</t>
        </is>
      </c>
      <c r="E84" s="3" t="inlineStr">
        <is>
          <t>Numbers</t>
        </is>
      </c>
      <c r="F84" s="23" t="n">
        <v>1</v>
      </c>
      <c r="G84" s="3" t="inlineStr">
        <is>
          <t>Làm quen</t>
        </is>
      </c>
      <c r="H84" s="22" t="n"/>
      <c r="I84" s="3" t="n"/>
      <c r="J84" s="3" t="inlineStr">
        <is>
          <t>Chọn đáp án</t>
        </is>
      </c>
      <c r="K84" s="3" t="inlineStr">
        <is>
          <t>Which number is “two”?</t>
        </is>
      </c>
      <c r="L84" s="3" t="inlineStr">
        <is>
          <t>1</t>
        </is>
      </c>
      <c r="M84" s="3" t="inlineStr">
        <is>
          <t>2</t>
        </is>
      </c>
      <c r="N84" s="3" t="inlineStr">
        <is>
          <t>3</t>
        </is>
      </c>
      <c r="O84" s="3" t="n"/>
      <c r="P84" s="3" t="n"/>
      <c r="Q84" s="3" t="inlineStr">
        <is>
          <t>B</t>
        </is>
      </c>
      <c r="R84" s="3" t="inlineStr">
        <is>
          <t>Two là số 2.</t>
        </is>
      </c>
      <c r="S84" s="3" t="n"/>
      <c r="T84" s="22" t="n">
        <v>30</v>
      </c>
      <c r="U84" s="22">
        <f>INDEX(Khung_cap_do!$H$2:$H$6,F84)</f>
        <v/>
      </c>
      <c r="V84" s="22" t="n">
        <v>2</v>
      </c>
      <c r="W84" s="22" t="n">
        <v>1</v>
      </c>
      <c r="X84" s="3" t="inlineStr">
        <is>
          <t>A1.NUM.01</t>
        </is>
      </c>
      <c r="Y84" s="3" t="inlineStr">
        <is>
          <t>TA.SODEM</t>
        </is>
      </c>
      <c r="Z84" s="3" t="inlineStr">
        <is>
          <t>Bộ mẫu</t>
        </is>
      </c>
      <c r="AA84" s="3" t="inlineStr">
        <is>
          <t>[Chọn đáp án] Which number is "two"?
A. 1 | B. 2 | C. 3
Đáp án: B</t>
        </is>
      </c>
      <c r="AB84" s="3" t="inlineStr">
        <is>
          <t>Từ two đã được dạy.</t>
        </is>
      </c>
      <c r="AC84" s="3" t="inlineStr">
        <is>
          <t>Mẫu tùy chọn; không đại diện chuẩn bắt buộc chung.</t>
        </is>
      </c>
      <c r="AD84" s="3" t="inlineStr">
        <is>
          <t>Chương trình GDPT 2018 / kế hoạch dạy học của trường; đối chiếu văn bản hiện hành</t>
        </is>
      </c>
      <c r="AE84" s="3" t="inlineStr">
        <is>
          <t>Bản mẫu — cần rà soát</t>
        </is>
      </c>
      <c r="AF84" s="3" t="inlineStr">
        <is>
          <t>Chờ giáo viên duyệt</t>
        </is>
      </c>
      <c r="AG84" s="3" t="n"/>
    </row>
    <row r="85">
      <c r="A85" s="3" t="inlineStr">
        <is>
          <t>EC1-096</t>
        </is>
      </c>
      <c r="B85" s="3" t="inlineStr">
        <is>
          <t>Tiếng Anh</t>
        </is>
      </c>
      <c r="C85" s="22" t="n">
        <v>1</v>
      </c>
      <c r="D85" s="3" t="inlineStr">
        <is>
          <t>Sau Unit 2</t>
        </is>
      </c>
      <c r="E85" s="3" t="inlineStr">
        <is>
          <t>Animals</t>
        </is>
      </c>
      <c r="F85" s="23" t="n">
        <v>1</v>
      </c>
      <c r="G85" s="3" t="inlineStr">
        <is>
          <t>Làm quen</t>
        </is>
      </c>
      <c r="H85" s="22" t="n"/>
      <c r="I85" s="3" t="n"/>
      <c r="J85" s="3" t="inlineStr">
        <is>
          <t>Chọn đáp án</t>
        </is>
      </c>
      <c r="K85" s="3" t="inlineStr">
        <is>
          <t>Từ "cat" là con gì?</t>
        </is>
      </c>
      <c r="L85" s="3" t="inlineStr">
        <is>
          <t>Con mèo</t>
        </is>
      </c>
      <c r="M85" s="3" t="inlineStr">
        <is>
          <t>Con chó</t>
        </is>
      </c>
      <c r="N85" s="3" t="inlineStr">
        <is>
          <t>Con vịt</t>
        </is>
      </c>
      <c r="O85" s="3" t="n"/>
      <c r="P85" s="3" t="n"/>
      <c r="Q85" s="3" t="inlineStr">
        <is>
          <t>A</t>
        </is>
      </c>
      <c r="R85" s="3" t="inlineStr">
        <is>
          <t>Cat là con mèo.</t>
        </is>
      </c>
      <c r="S85" s="3" t="n"/>
      <c r="T85" s="22" t="n">
        <v>30</v>
      </c>
      <c r="U85" s="22">
        <f>INDEX(Khung_cap_do!$H$2:$H$6,F85)</f>
        <v/>
      </c>
      <c r="V85" s="22" t="n">
        <v>2</v>
      </c>
      <c r="W85" s="22" t="n">
        <v>2</v>
      </c>
      <c r="X85" s="3" t="inlineStr">
        <is>
          <t>A1.ANIMAL.01</t>
        </is>
      </c>
      <c r="Y85" s="3" t="inlineStr">
        <is>
          <t>TA.TUVUNG</t>
        </is>
      </c>
      <c r="Z85" s="3" t="inlineStr">
        <is>
          <t>Soạn thêm</t>
        </is>
      </c>
      <c r="AA85" s="3" t="inlineStr"/>
      <c r="AB85" s="3" t="inlineStr">
        <is>
          <t>Đã học cat (Unit 2).</t>
        </is>
      </c>
      <c r="AC85" s="3" t="inlineStr">
        <is>
          <t>Làm quen tiếng Anh lớp 1; từ vựng Global Success 1 (Unit 1–8).</t>
        </is>
      </c>
      <c r="AD85" s="3" t="inlineStr">
        <is>
          <t>EduChain Kids soạn thêm (2026-10); bám chương trình GDPT 2018 và trình tự SGK đã chọn</t>
        </is>
      </c>
      <c r="AE85" s="3" t="inlineStr">
        <is>
          <t>Bản soạn mới — cần rà soát</t>
        </is>
      </c>
      <c r="AF85" s="3" t="inlineStr">
        <is>
          <t>Chờ giáo viên duyệt</t>
        </is>
      </c>
      <c r="AG85" s="3" t="n"/>
    </row>
    <row r="86">
      <c r="A86" s="3" t="inlineStr">
        <is>
          <t>EC1-097</t>
        </is>
      </c>
      <c r="B86" s="3" t="inlineStr">
        <is>
          <t>Tiếng Anh</t>
        </is>
      </c>
      <c r="C86" s="22" t="n">
        <v>1</v>
      </c>
      <c r="D86" s="3" t="inlineStr">
        <is>
          <t>Sau Unit 3</t>
        </is>
      </c>
      <c r="E86" s="3" t="inlineStr">
        <is>
          <t>Food</t>
        </is>
      </c>
      <c r="F86" s="23" t="n">
        <v>1</v>
      </c>
      <c r="G86" s="3" t="inlineStr">
        <is>
          <t>Làm quen</t>
        </is>
      </c>
      <c r="H86" s="22" t="n"/>
      <c r="I86" s="3" t="n"/>
      <c r="J86" s="3" t="inlineStr">
        <is>
          <t>Chọn đáp án</t>
        </is>
      </c>
      <c r="K86" s="3" t="inlineStr">
        <is>
          <t>Chọn từ có nghĩa là "quả táo".</t>
        </is>
      </c>
      <c r="L86" s="3" t="inlineStr">
        <is>
          <t>apple</t>
        </is>
      </c>
      <c r="M86" s="3" t="inlineStr">
        <is>
          <t>ball</t>
        </is>
      </c>
      <c r="N86" s="3" t="inlineStr">
        <is>
          <t>cup</t>
        </is>
      </c>
      <c r="O86" s="3" t="n"/>
      <c r="P86" s="3" t="n"/>
      <c r="Q86" s="3" t="inlineStr">
        <is>
          <t>A</t>
        </is>
      </c>
      <c r="R86" s="3" t="inlineStr">
        <is>
          <t>Apple là quả táo.</t>
        </is>
      </c>
      <c r="S86" s="3" t="n"/>
      <c r="T86" s="22" t="n">
        <v>30</v>
      </c>
      <c r="U86" s="22">
        <f>INDEX(Khung_cap_do!$H$2:$H$6,F86)</f>
        <v/>
      </c>
      <c r="V86" s="22" t="n">
        <v>3</v>
      </c>
      <c r="W86" s="22" t="n">
        <v>1</v>
      </c>
      <c r="X86" s="3" t="inlineStr">
        <is>
          <t>A1.EXTRA.02</t>
        </is>
      </c>
      <c r="Y86" s="3" t="inlineStr">
        <is>
          <t>TA.TUVUNG</t>
        </is>
      </c>
      <c r="Z86" s="3" t="inlineStr">
        <is>
          <t>Soạn thêm</t>
        </is>
      </c>
      <c r="AA86" s="3" t="inlineStr"/>
      <c r="AB86" s="3" t="inlineStr">
        <is>
          <t>Đã học apple (Unit 3).</t>
        </is>
      </c>
      <c r="AC86" s="3" t="inlineStr">
        <is>
          <t>Làm quen tiếng Anh lớp 1; từ vựng Global Success 1 (Unit 1–8).</t>
        </is>
      </c>
      <c r="AD86" s="3" t="inlineStr">
        <is>
          <t>EduChain Kids soạn thêm (2026-10); bám chương trình GDPT 2018 và trình tự SGK đã chọn</t>
        </is>
      </c>
      <c r="AE86" s="3" t="inlineStr">
        <is>
          <t>Bản soạn mới — cần rà soát</t>
        </is>
      </c>
      <c r="AF86" s="3" t="inlineStr">
        <is>
          <t>Chờ giáo viên duyệt</t>
        </is>
      </c>
      <c r="AG86" s="3" t="n"/>
    </row>
    <row r="87">
      <c r="A87" s="3" t="inlineStr">
        <is>
          <t>EC1-098</t>
        </is>
      </c>
      <c r="B87" s="3" t="inlineStr">
        <is>
          <t>Tiếng Anh</t>
        </is>
      </c>
      <c r="C87" s="22" t="n">
        <v>1</v>
      </c>
      <c r="D87" s="3" t="inlineStr">
        <is>
          <t>Sau Unit 1</t>
        </is>
      </c>
      <c r="E87" s="3" t="inlineStr">
        <is>
          <t>Toys</t>
        </is>
      </c>
      <c r="F87" s="23" t="n">
        <v>1</v>
      </c>
      <c r="G87" s="3" t="inlineStr">
        <is>
          <t>Làm quen</t>
        </is>
      </c>
      <c r="H87" s="22" t="n"/>
      <c r="I87" s="3" t="n"/>
      <c r="J87" s="3" t="inlineStr">
        <is>
          <t>Chọn đáp án</t>
        </is>
      </c>
      <c r="K87" s="3" t="inlineStr">
        <is>
          <t>Nghe "ball". Chọn hình đúng.</t>
        </is>
      </c>
      <c r="L87" s="3" t="inlineStr">
        <is>
          <t>⚽</t>
        </is>
      </c>
      <c r="M87" s="3" t="inlineStr">
        <is>
          <t>🚗</t>
        </is>
      </c>
      <c r="N87" s="3" t="inlineStr">
        <is>
          <t>🎂</t>
        </is>
      </c>
      <c r="O87" s="3" t="n"/>
      <c r="P87" s="3" t="n"/>
      <c r="Q87" s="3" t="inlineStr">
        <is>
          <t>A</t>
        </is>
      </c>
      <c r="R87" s="3" t="inlineStr">
        <is>
          <t>Ball là quả bóng ⚽.</t>
        </is>
      </c>
      <c r="S87" s="3" t="n"/>
      <c r="T87" s="22" t="n">
        <v>30</v>
      </c>
      <c r="U87" s="22">
        <f>INDEX(Khung_cap_do!$H$2:$H$6,F87)</f>
        <v/>
      </c>
      <c r="V87" s="22" t="n">
        <v>3</v>
      </c>
      <c r="W87" s="22" t="n">
        <v>2</v>
      </c>
      <c r="X87" s="3" t="inlineStr">
        <is>
          <t>A1.EXTRA.01</t>
        </is>
      </c>
      <c r="Y87" s="3" t="inlineStr">
        <is>
          <t>TA.TUVUNG</t>
        </is>
      </c>
      <c r="Z87" s="3" t="inlineStr">
        <is>
          <t>Soạn thêm</t>
        </is>
      </c>
      <c r="AA87" s="3" t="inlineStr"/>
      <c r="AB87" s="3" t="inlineStr">
        <is>
          <t>Đã học ball (Unit 1).</t>
        </is>
      </c>
      <c r="AC87" s="3" t="inlineStr">
        <is>
          <t>Làm quen tiếng Anh lớp 1; từ vựng Global Success 1 (Unit 1–8).</t>
        </is>
      </c>
      <c r="AD87" s="3" t="inlineStr">
        <is>
          <t>EduChain Kids soạn thêm (2026-10); bám chương trình GDPT 2018 và trình tự SGK đã chọn</t>
        </is>
      </c>
      <c r="AE87" s="3" t="inlineStr">
        <is>
          <t>Bản soạn mới — cần rà soát</t>
        </is>
      </c>
      <c r="AF87" s="3" t="inlineStr">
        <is>
          <t>Chờ giáo viên duyệt</t>
        </is>
      </c>
      <c r="AG87" s="3" t="n"/>
    </row>
    <row r="88">
      <c r="A88" s="3" t="inlineStr">
        <is>
          <t>EC1-099</t>
        </is>
      </c>
      <c r="B88" s="3" t="inlineStr">
        <is>
          <t>Tiếng Anh</t>
        </is>
      </c>
      <c r="C88" s="22" t="n">
        <v>1</v>
      </c>
      <c r="D88" s="3" t="inlineStr">
        <is>
          <t>Sau Unit 1</t>
        </is>
      </c>
      <c r="E88" s="3" t="inlineStr">
        <is>
          <t>Letter b</t>
        </is>
      </c>
      <c r="F88" s="23" t="n">
        <v>1</v>
      </c>
      <c r="G88" s="3" t="inlineStr">
        <is>
          <t>Làm quen</t>
        </is>
      </c>
      <c r="H88" s="22" t="n"/>
      <c r="I88" s="3" t="n"/>
      <c r="J88" s="3" t="inlineStr">
        <is>
          <t>Điền đáp án</t>
        </is>
      </c>
      <c r="K88" s="3" t="inlineStr">
        <is>
          <t>Điền chữ cái còn thiếu: _ook (quyển sách)</t>
        </is>
      </c>
      <c r="L88" s="3" t="n"/>
      <c r="M88" s="3" t="n"/>
      <c r="N88" s="3" t="n"/>
      <c r="O88" s="3" t="n"/>
      <c r="P88" s="3" t="n"/>
      <c r="Q88" s="3" t="inlineStr">
        <is>
          <t>b</t>
        </is>
      </c>
      <c r="R88" s="3" t="inlineStr">
        <is>
          <t>book – quyển sách, bắt đầu bằng b.</t>
        </is>
      </c>
      <c r="S88" s="3" t="n"/>
      <c r="T88" s="22" t="n">
        <v>40</v>
      </c>
      <c r="U88" s="22">
        <f>INDEX(Khung_cap_do!$H$2:$H$6,F88)</f>
        <v/>
      </c>
      <c r="V88" s="22" t="n">
        <v>4</v>
      </c>
      <c r="W88" s="22" t="n">
        <v>1</v>
      </c>
      <c r="X88" s="3" t="inlineStr">
        <is>
          <t>A1.ABC.02</t>
        </is>
      </c>
      <c r="Y88" s="3" t="inlineStr">
        <is>
          <t>TA.CHUCAI</t>
        </is>
      </c>
      <c r="Z88" s="3" t="inlineStr">
        <is>
          <t>Soạn thêm</t>
        </is>
      </c>
      <c r="AA88" s="3" t="inlineStr"/>
      <c r="AB88" s="3" t="inlineStr">
        <is>
          <t>Đã học chữ b và từ book (Unit 1).</t>
        </is>
      </c>
      <c r="AC88" s="3" t="inlineStr">
        <is>
          <t>Làm quen tiếng Anh lớp 1; từ vựng Global Success 1 (Unit 1–8).</t>
        </is>
      </c>
      <c r="AD88" s="3" t="inlineStr">
        <is>
          <t>EduChain Kids soạn thêm (2026-10); bám chương trình GDPT 2018 và trình tự SGK đã chọn</t>
        </is>
      </c>
      <c r="AE88" s="3" t="inlineStr">
        <is>
          <t>Bản soạn mới — cần rà soát</t>
        </is>
      </c>
      <c r="AF88" s="3" t="inlineStr">
        <is>
          <t>Chờ giáo viên duyệt</t>
        </is>
      </c>
      <c r="AG88" s="3" t="n"/>
    </row>
    <row r="89">
      <c r="A89" s="3" t="inlineStr">
        <is>
          <t>EC1-100</t>
        </is>
      </c>
      <c r="B89" s="3" t="inlineStr">
        <is>
          <t>Tiếng Anh</t>
        </is>
      </c>
      <c r="C89" s="22" t="n">
        <v>1</v>
      </c>
      <c r="D89" s="3" t="inlineStr">
        <is>
          <t>Sau Unit 4</t>
        </is>
      </c>
      <c r="E89" s="3" t="inlineStr">
        <is>
          <t>Letter d</t>
        </is>
      </c>
      <c r="F89" s="23" t="n">
        <v>1</v>
      </c>
      <c r="G89" s="3" t="inlineStr">
        <is>
          <t>Làm quen</t>
        </is>
      </c>
      <c r="H89" s="22" t="n"/>
      <c r="I89" s="3" t="n"/>
      <c r="J89" s="3" t="inlineStr">
        <is>
          <t>Chọn đáp án</t>
        </is>
      </c>
      <c r="K89" s="3" t="inlineStr">
        <is>
          <t>Từ "dog" bắt đầu bằng chữ cái nào?</t>
        </is>
      </c>
      <c r="L89" s="3" t="inlineStr">
        <is>
          <t>d</t>
        </is>
      </c>
      <c r="M89" s="3" t="inlineStr">
        <is>
          <t>b</t>
        </is>
      </c>
      <c r="N89" s="3" t="inlineStr">
        <is>
          <t>g</t>
        </is>
      </c>
      <c r="O89" s="3" t="n"/>
      <c r="P89" s="3" t="n"/>
      <c r="Q89" s="3" t="inlineStr">
        <is>
          <t>A</t>
        </is>
      </c>
      <c r="R89" s="3" t="inlineStr">
        <is>
          <t>dog bắt đầu bằng d.</t>
        </is>
      </c>
      <c r="S89" s="3" t="n"/>
      <c r="T89" s="22" t="n">
        <v>30</v>
      </c>
      <c r="U89" s="22">
        <f>INDEX(Khung_cap_do!$H$2:$H$6,F89)</f>
        <v/>
      </c>
      <c r="V89" s="22" t="n">
        <v>4</v>
      </c>
      <c r="W89" s="22" t="n">
        <v>2</v>
      </c>
      <c r="X89" s="3" t="inlineStr">
        <is>
          <t>A1.ABC.02</t>
        </is>
      </c>
      <c r="Y89" s="3" t="inlineStr">
        <is>
          <t>TA.CHUCAI</t>
        </is>
      </c>
      <c r="Z89" s="3" t="inlineStr">
        <is>
          <t>Soạn thêm</t>
        </is>
      </c>
      <c r="AA89" s="3" t="inlineStr"/>
      <c r="AB89" s="3" t="inlineStr">
        <is>
          <t>Đã học chữ d và từ dog (Unit 4).</t>
        </is>
      </c>
      <c r="AC89" s="3" t="inlineStr">
        <is>
          <t>Làm quen tiếng Anh lớp 1; từ vựng Global Success 1 (Unit 1–8).</t>
        </is>
      </c>
      <c r="AD89" s="3" t="inlineStr">
        <is>
          <t>EduChain Kids soạn thêm (2026-10); bám chương trình GDPT 2018 và trình tự SGK đã chọn</t>
        </is>
      </c>
      <c r="AE89" s="3" t="inlineStr">
        <is>
          <t>Bản soạn mới — cần rà soát</t>
        </is>
      </c>
      <c r="AF89" s="3" t="inlineStr">
        <is>
          <t>Chờ giáo viên duyệt</t>
        </is>
      </c>
      <c r="AG89" s="3" t="n"/>
    </row>
    <row r="90">
      <c r="A90" s="3" t="inlineStr">
        <is>
          <t>EC1-034</t>
        </is>
      </c>
      <c r="B90" s="3" t="inlineStr">
        <is>
          <t>Tiếng Anh</t>
        </is>
      </c>
      <c r="C90" s="22" t="n">
        <v>1</v>
      </c>
      <c r="D90" s="3" t="inlineStr">
        <is>
          <t>Theo chương trình trường lựa chọn</t>
        </is>
      </c>
      <c r="E90" s="3" t="inlineStr">
        <is>
          <t>Greetings</t>
        </is>
      </c>
      <c r="F90" s="23" t="n">
        <v>2</v>
      </c>
      <c r="G90" s="3" t="inlineStr">
        <is>
          <t>Cơ bản</t>
        </is>
      </c>
      <c r="H90" s="22" t="n"/>
      <c r="I90" s="3" t="n"/>
      <c r="J90" s="3" t="inlineStr">
        <is>
          <t>Chọn đáp án</t>
        </is>
      </c>
      <c r="K90" s="3" t="inlineStr">
        <is>
          <t>Chọn câu trả lời phù hợp cho “Hello!”</t>
        </is>
      </c>
      <c r="L90" s="3" t="inlineStr">
        <is>
          <t>Hello!</t>
        </is>
      </c>
      <c r="M90" s="3" t="inlineStr">
        <is>
          <t>Red!</t>
        </is>
      </c>
      <c r="N90" s="3" t="inlineStr">
        <is>
          <t>Three!</t>
        </is>
      </c>
      <c r="O90" s="3" t="n"/>
      <c r="P90" s="3" t="n"/>
      <c r="Q90" s="3" t="inlineStr">
        <is>
          <t>A</t>
        </is>
      </c>
      <c r="R90" s="3" t="inlineStr">
        <is>
          <t>Có thể đáp lại lời chào bằng Hello.</t>
        </is>
      </c>
      <c r="S90" s="3" t="n"/>
      <c r="T90" s="22" t="n">
        <v>40</v>
      </c>
      <c r="U90" s="22">
        <f>INDEX(Khung_cap_do!$H$2:$H$6,F90)</f>
        <v/>
      </c>
      <c r="V90" s="22" t="n">
        <v>1</v>
      </c>
      <c r="W90" s="22" t="n">
        <v>3</v>
      </c>
      <c r="X90" s="3" t="inlineStr">
        <is>
          <t>A1.HELLO.01</t>
        </is>
      </c>
      <c r="Y90" s="3" t="inlineStr">
        <is>
          <t>TA.MAUCAU</t>
        </is>
      </c>
      <c r="Z90" s="3" t="inlineStr">
        <is>
          <t>Bộ mẫu</t>
        </is>
      </c>
      <c r="AA90" s="3" t="inlineStr">
        <is>
          <t>[Chọn đáp án] Chọn câu trả lời phù hợp cho "Hello!"
A. Hello! | B. Red! | C. Three!
Đáp án: A</t>
        </is>
      </c>
      <c r="AB90" s="3" t="inlineStr">
        <is>
          <t>Đã luyện mẫu chào hỏi.</t>
        </is>
      </c>
      <c r="AC90" s="3" t="inlineStr">
        <is>
          <t>Phải có trong giáo trình đã chọn.</t>
        </is>
      </c>
      <c r="AD90" s="3" t="inlineStr">
        <is>
          <t>Chương trình GDPT 2018 / kế hoạch dạy học của trường; đối chiếu văn bản hiện hành</t>
        </is>
      </c>
      <c r="AE90" s="3" t="inlineStr">
        <is>
          <t>Bản mẫu — cần rà soát</t>
        </is>
      </c>
      <c r="AF90" s="3" t="inlineStr">
        <is>
          <t>Chờ giáo viên duyệt</t>
        </is>
      </c>
      <c r="AG90" s="3" t="n"/>
    </row>
    <row r="91">
      <c r="A91" s="3" t="inlineStr">
        <is>
          <t>EC1-035</t>
        </is>
      </c>
      <c r="B91" s="3" t="inlineStr">
        <is>
          <t>Tiếng Anh</t>
        </is>
      </c>
      <c r="C91" s="22" t="n">
        <v>1</v>
      </c>
      <c r="D91" s="3" t="inlineStr">
        <is>
          <t>Theo chương trình trường lựa chọn</t>
        </is>
      </c>
      <c r="E91" s="3" t="inlineStr">
        <is>
          <t>Classroom objects</t>
        </is>
      </c>
      <c r="F91" s="23" t="n">
        <v>2</v>
      </c>
      <c r="G91" s="3" t="inlineStr">
        <is>
          <t>Cơ bản</t>
        </is>
      </c>
      <c r="H91" s="22" t="n"/>
      <c r="I91" s="3" t="n"/>
      <c r="J91" s="3" t="inlineStr">
        <is>
          <t>Chọn đáp án</t>
        </is>
      </c>
      <c r="K91" s="3" t="inlineStr">
        <is>
          <t>Nghe “book”. Chọn đồ vật phù hợp.</t>
        </is>
      </c>
      <c r="L91" s="3" t="inlineStr">
        <is>
          <t>Quyển sách</t>
        </is>
      </c>
      <c r="M91" s="3" t="inlineStr">
        <is>
          <t>Quả táo</t>
        </is>
      </c>
      <c r="N91" s="3" t="inlineStr">
        <is>
          <t>Quả bóng</t>
        </is>
      </c>
      <c r="O91" s="3" t="n"/>
      <c r="P91" s="3" t="n"/>
      <c r="Q91" s="3" t="inlineStr">
        <is>
          <t>A</t>
        </is>
      </c>
      <c r="R91" s="3" t="inlineStr">
        <is>
          <t>Book nghĩa là quyển sách.</t>
        </is>
      </c>
      <c r="S91" s="3" t="n"/>
      <c r="T91" s="22" t="n">
        <v>40</v>
      </c>
      <c r="U91" s="22">
        <f>INDEX(Khung_cap_do!$H$2:$H$6,F91)</f>
        <v/>
      </c>
      <c r="V91" s="22" t="n">
        <v>1</v>
      </c>
      <c r="W91" s="22" t="n">
        <v>4</v>
      </c>
      <c r="X91" s="3" t="inlineStr">
        <is>
          <t>A1.SCHOOL.01</t>
        </is>
      </c>
      <c r="Y91" s="3" t="inlineStr">
        <is>
          <t>TA.TUVUNG</t>
        </is>
      </c>
      <c r="Z91" s="3" t="inlineStr">
        <is>
          <t>Bộ mẫu</t>
        </is>
      </c>
      <c r="AA91" s="3" t="inlineStr">
        <is>
          <t>[Chọn đáp án] Nghe "book". Chọn đồ vật phù hợp.
A. Quyển sách | B. Quả táo | C. Quả bóng
Đáp án: A</t>
        </is>
      </c>
      <c r="AB91" s="3" t="inlineStr">
        <is>
          <t>Từ book đã được dạy.</t>
        </is>
      </c>
      <c r="AC91" s="3" t="inlineStr">
        <is>
          <t>Cần giáo viên duyệt hình minh họa.</t>
        </is>
      </c>
      <c r="AD91" s="3" t="inlineStr">
        <is>
          <t>Chương trình GDPT 2018 / kế hoạch dạy học của trường; đối chiếu văn bản hiện hành</t>
        </is>
      </c>
      <c r="AE91" s="3" t="inlineStr">
        <is>
          <t>Bản mẫu — cần rà soát</t>
        </is>
      </c>
      <c r="AF91" s="3" t="inlineStr">
        <is>
          <t>Chờ giáo viên duyệt</t>
        </is>
      </c>
      <c r="AG91" s="3" t="n"/>
    </row>
    <row r="92">
      <c r="A92" s="3" t="inlineStr">
        <is>
          <t>EC1-036</t>
        </is>
      </c>
      <c r="B92" s="3" t="inlineStr">
        <is>
          <t>Tiếng Anh</t>
        </is>
      </c>
      <c r="C92" s="22" t="n">
        <v>1</v>
      </c>
      <c r="D92" s="3" t="inlineStr">
        <is>
          <t>Theo chương trình trường lựa chọn</t>
        </is>
      </c>
      <c r="E92" s="3" t="inlineStr">
        <is>
          <t>Animals</t>
        </is>
      </c>
      <c r="F92" s="23" t="n">
        <v>2</v>
      </c>
      <c r="G92" s="3" t="inlineStr">
        <is>
          <t>Cơ bản</t>
        </is>
      </c>
      <c r="H92" s="22" t="n"/>
      <c r="I92" s="3" t="n"/>
      <c r="J92" s="3" t="inlineStr">
        <is>
          <t>Chọn đáp án</t>
        </is>
      </c>
      <c r="K92" s="3" t="inlineStr">
        <is>
          <t>Which word means “mèo”?</t>
        </is>
      </c>
      <c r="L92" s="3" t="inlineStr">
        <is>
          <t>cat</t>
        </is>
      </c>
      <c r="M92" s="3" t="inlineStr">
        <is>
          <t>dog</t>
        </is>
      </c>
      <c r="N92" s="3" t="inlineStr">
        <is>
          <t>fish</t>
        </is>
      </c>
      <c r="O92" s="3" t="n"/>
      <c r="P92" s="3" t="n"/>
      <c r="Q92" s="3" t="inlineStr">
        <is>
          <t>A</t>
        </is>
      </c>
      <c r="R92" s="3" t="inlineStr">
        <is>
          <t>Cat nghĩa là mèo.</t>
        </is>
      </c>
      <c r="S92" s="3" t="n"/>
      <c r="T92" s="22" t="n">
        <v>40</v>
      </c>
      <c r="U92" s="22">
        <f>INDEX(Khung_cap_do!$H$2:$H$6,F92)</f>
        <v/>
      </c>
      <c r="V92" s="22" t="n">
        <v>2</v>
      </c>
      <c r="W92" s="22" t="n">
        <v>3</v>
      </c>
      <c r="X92" s="3" t="inlineStr">
        <is>
          <t>A1.ANIMAL.01</t>
        </is>
      </c>
      <c r="Y92" s="3" t="inlineStr">
        <is>
          <t>TA.TUVUNG</t>
        </is>
      </c>
      <c r="Z92" s="3" t="inlineStr">
        <is>
          <t>Bộ mẫu</t>
        </is>
      </c>
      <c r="AA92" s="3" t="inlineStr">
        <is>
          <t>[Chọn đáp án] Which word means "mèo"?
A. cat | B. dog | C. fish
Đáp án: A</t>
        </is>
      </c>
      <c r="AB92" s="3" t="inlineStr">
        <is>
          <t>Từ cat đã được học.</t>
        </is>
      </c>
      <c r="AC92" s="3" t="inlineStr">
        <is>
          <t>Chỉ dùng nếu từ đã được dạy.</t>
        </is>
      </c>
      <c r="AD92" s="3" t="inlineStr">
        <is>
          <t>Chương trình GDPT 2018 / kế hoạch dạy học của trường; đối chiếu văn bản hiện hành</t>
        </is>
      </c>
      <c r="AE92" s="3" t="inlineStr">
        <is>
          <t>Bản mẫu — cần rà soát</t>
        </is>
      </c>
      <c r="AF92" s="3" t="inlineStr">
        <is>
          <t>Chờ giáo viên duyệt</t>
        </is>
      </c>
      <c r="AG92" s="3" t="n"/>
    </row>
    <row r="93">
      <c r="A93" s="3" t="inlineStr">
        <is>
          <t>EC1-044</t>
        </is>
      </c>
      <c r="B93" s="3" t="inlineStr">
        <is>
          <t>Tiếng Anh</t>
        </is>
      </c>
      <c r="C93" s="22" t="n">
        <v>1</v>
      </c>
      <c r="D93" s="3" t="inlineStr">
        <is>
          <t>Theo chương trình trường lựa chọn</t>
        </is>
      </c>
      <c r="E93" s="3" t="inlineStr">
        <is>
          <t>Mini-dialogue</t>
        </is>
      </c>
      <c r="F93" s="23" t="n">
        <v>2</v>
      </c>
      <c r="G93" s="3" t="inlineStr">
        <is>
          <t>Cơ bản</t>
        </is>
      </c>
      <c r="H93" s="22" t="n">
        <v>5</v>
      </c>
      <c r="I93" s="3" t="inlineStr">
        <is>
          <t>Chọn lời chào quen thuộc, xếp L2.</t>
        </is>
      </c>
      <c r="J93" s="3" t="inlineStr">
        <is>
          <t>Chọn đáp án</t>
        </is>
      </c>
      <c r="K93" s="3" t="inlineStr">
        <is>
          <t>Gặp bạn vào buổi sáng, chọn lời chào phù hợp.</t>
        </is>
      </c>
      <c r="L93" s="3" t="inlineStr">
        <is>
          <t>Good morning.</t>
        </is>
      </c>
      <c r="M93" s="3" t="inlineStr">
        <is>
          <t>Goodbye.</t>
        </is>
      </c>
      <c r="N93" s="3" t="inlineStr">
        <is>
          <t>Thank you.</t>
        </is>
      </c>
      <c r="O93" s="3" t="n"/>
      <c r="P93" s="3" t="n"/>
      <c r="Q93" s="3" t="inlineStr">
        <is>
          <t>A</t>
        </is>
      </c>
      <c r="R93" s="3" t="inlineStr">
        <is>
          <t>Good morning là lời chào buổi sáng.</t>
        </is>
      </c>
      <c r="S93" s="3" t="n"/>
      <c r="T93" s="22" t="n">
        <v>40</v>
      </c>
      <c r="U93" s="22">
        <f>INDEX(Khung_cap_do!$H$2:$H$6,F93)</f>
        <v/>
      </c>
      <c r="V93" s="22" t="n">
        <v>2</v>
      </c>
      <c r="W93" s="22" t="n">
        <v>4</v>
      </c>
      <c r="X93" s="3" t="inlineStr">
        <is>
          <t>A1.HELLO.01</t>
        </is>
      </c>
      <c r="Y93" s="3" t="inlineStr">
        <is>
          <t>TA.MAUCAU</t>
        </is>
      </c>
      <c r="Z93" s="3" t="inlineStr">
        <is>
          <t>Bộ mẫu</t>
        </is>
      </c>
      <c r="AA93" s="3" t="inlineStr"/>
      <c r="AB93" s="3" t="inlineStr">
        <is>
          <t>Cụm từ đã được dạy.</t>
        </is>
      </c>
      <c r="AC93" s="3" t="inlineStr">
        <is>
          <t>Phụ thuộc giáo trình và tiến độ trường.</t>
        </is>
      </c>
      <c r="AD93" s="3" t="inlineStr">
        <is>
          <t>Chương trình GDPT 2018 / kế hoạch dạy học của trường; đối chiếu văn bản hiện hành</t>
        </is>
      </c>
      <c r="AE93" s="3" t="inlineStr">
        <is>
          <t>Bản mẫu — cần rà soát</t>
        </is>
      </c>
      <c r="AF93" s="3" t="inlineStr">
        <is>
          <t>Chờ giáo viên duyệt</t>
        </is>
      </c>
      <c r="AG93" s="3" t="n"/>
    </row>
    <row r="94">
      <c r="A94" s="3" t="inlineStr">
        <is>
          <t>EC1-101</t>
        </is>
      </c>
      <c r="B94" s="3" t="inlineStr">
        <is>
          <t>Tiếng Anh</t>
        </is>
      </c>
      <c r="C94" s="22" t="n">
        <v>1</v>
      </c>
      <c r="D94" s="3" t="inlineStr">
        <is>
          <t>Sau Unit 2</t>
        </is>
      </c>
      <c r="E94" s="3" t="inlineStr">
        <is>
          <t>Letter c words</t>
        </is>
      </c>
      <c r="F94" s="23" t="n">
        <v>2</v>
      </c>
      <c r="G94" s="3" t="inlineStr">
        <is>
          <t>Cơ bản</t>
        </is>
      </c>
      <c r="H94" s="22" t="n"/>
      <c r="I94" s="3" t="n"/>
      <c r="J94" s="3" t="inlineStr">
        <is>
          <t>Ghép cặp</t>
        </is>
      </c>
      <c r="K94" s="3" t="inlineStr">
        <is>
          <t>Nối từ với nghĩa.
(Vế trái: car / cake / cup · Vế phải: bánh ngọt / cái cốc / ô tô)</t>
        </is>
      </c>
      <c r="L94" s="3" t="n"/>
      <c r="M94" s="3" t="n"/>
      <c r="N94" s="3" t="n"/>
      <c r="O94" s="3" t="n"/>
      <c r="P94" s="3" t="n"/>
      <c r="Q94" s="3" t="inlineStr">
        <is>
          <t>car – ô tô; cake – bánh ngọt; cup – cái cốc</t>
        </is>
      </c>
      <c r="R94" s="3" t="inlineStr">
        <is>
          <t>car – ô tô, cake – bánh ngọt, cup – cái cốc.</t>
        </is>
      </c>
      <c r="S94" s="3" t="n"/>
      <c r="T94" s="22" t="n">
        <v>55</v>
      </c>
      <c r="U94" s="22">
        <f>INDEX(Khung_cap_do!$H$2:$H$6,F94)</f>
        <v/>
      </c>
      <c r="V94" s="22" t="n">
        <v>3</v>
      </c>
      <c r="W94" s="22" t="n">
        <v>3</v>
      </c>
      <c r="X94" s="3" t="inlineStr">
        <is>
          <t>A1.EXTRA.01</t>
        </is>
      </c>
      <c r="Y94" s="3" t="inlineStr">
        <is>
          <t>TA.NOINGHIA</t>
        </is>
      </c>
      <c r="Z94" s="3" t="inlineStr">
        <is>
          <t>Soạn thêm</t>
        </is>
      </c>
      <c r="AA94" s="3" t="inlineStr"/>
      <c r="AB94" s="3" t="inlineStr">
        <is>
          <t>Đã học car, cake, cup (Unit 2).</t>
        </is>
      </c>
      <c r="AC94" s="3" t="inlineStr">
        <is>
          <t>Làm quen tiếng Anh lớp 1; từ vựng Global Success 1 (Unit 1–8).</t>
        </is>
      </c>
      <c r="AD94" s="3" t="inlineStr">
        <is>
          <t>EduChain Kids soạn thêm (2026-10); bám chương trình GDPT 2018 và trình tự SGK đã chọn</t>
        </is>
      </c>
      <c r="AE94" s="3" t="inlineStr">
        <is>
          <t>Bản soạn mới — cần rà soát</t>
        </is>
      </c>
      <c r="AF94" s="3" t="inlineStr">
        <is>
          <t>Chờ giáo viên duyệt</t>
        </is>
      </c>
      <c r="AG94" s="3" t="n"/>
    </row>
    <row r="95">
      <c r="A95" s="3" t="inlineStr">
        <is>
          <t>EC1-102</t>
        </is>
      </c>
      <c r="B95" s="3" t="inlineStr">
        <is>
          <t>Tiếng Anh</t>
        </is>
      </c>
      <c r="C95" s="22" t="n">
        <v>1</v>
      </c>
      <c r="D95" s="3" t="inlineStr">
        <is>
          <t>Sau Unit 6</t>
        </is>
      </c>
      <c r="E95" s="3" t="inlineStr">
        <is>
          <t>School things</t>
        </is>
      </c>
      <c r="F95" s="23" t="n">
        <v>2</v>
      </c>
      <c r="G95" s="3" t="inlineStr">
        <is>
          <t>Cơ bản</t>
        </is>
      </c>
      <c r="H95" s="22" t="n"/>
      <c r="I95" s="3" t="n"/>
      <c r="J95" s="3" t="inlineStr">
        <is>
          <t>Chọn đáp án</t>
        </is>
      </c>
      <c r="K95" s="3" t="inlineStr">
        <is>
          <t>Từ nào có nghĩa là "cái bút mực"?</t>
        </is>
      </c>
      <c r="L95" s="3" t="inlineStr">
        <is>
          <t>pen</t>
        </is>
      </c>
      <c r="M95" s="3" t="inlineStr">
        <is>
          <t>pencil</t>
        </is>
      </c>
      <c r="N95" s="3" t="inlineStr">
        <is>
          <t>bell</t>
        </is>
      </c>
      <c r="O95" s="3" t="n"/>
      <c r="P95" s="3" t="n"/>
      <c r="Q95" s="3" t="inlineStr">
        <is>
          <t>A</t>
        </is>
      </c>
      <c r="R95" s="3" t="inlineStr">
        <is>
          <t>pen – bút mực; pencil – bút chì; bell – cái chuông.</t>
        </is>
      </c>
      <c r="S95" s="3" t="n"/>
      <c r="T95" s="22" t="n">
        <v>40</v>
      </c>
      <c r="U95" s="22">
        <f>INDEX(Khung_cap_do!$H$2:$H$6,F95)</f>
        <v/>
      </c>
      <c r="V95" s="22" t="n">
        <v>3</v>
      </c>
      <c r="W95" s="22" t="n">
        <v>4</v>
      </c>
      <c r="X95" s="3" t="inlineStr">
        <is>
          <t>A1.SCHOOL.01</t>
        </is>
      </c>
      <c r="Y95" s="3" t="inlineStr">
        <is>
          <t>TA.TUVUNG</t>
        </is>
      </c>
      <c r="Z95" s="3" t="inlineStr">
        <is>
          <t>Soạn thêm</t>
        </is>
      </c>
      <c r="AA95" s="3" t="inlineStr"/>
      <c r="AB95" s="3" t="inlineStr">
        <is>
          <t>Đã học pen, pencil, bell (Unit 6).</t>
        </is>
      </c>
      <c r="AC95" s="3" t="inlineStr">
        <is>
          <t>Làm quen tiếng Anh lớp 1; từ vựng Global Success 1 (Unit 1–8).</t>
        </is>
      </c>
      <c r="AD95" s="3" t="inlineStr">
        <is>
          <t>EduChain Kids soạn thêm (2026-10); bám chương trình GDPT 2018 và trình tự SGK đã chọn</t>
        </is>
      </c>
      <c r="AE95" s="3" t="inlineStr">
        <is>
          <t>Bản soạn mới — cần rà soát</t>
        </is>
      </c>
      <c r="AF95" s="3" t="inlineStr">
        <is>
          <t>Chờ giáo viên duyệt</t>
        </is>
      </c>
      <c r="AG95" s="3" t="n"/>
    </row>
    <row r="96">
      <c r="A96" s="3" t="inlineStr">
        <is>
          <t>EC1-103</t>
        </is>
      </c>
      <c r="B96" s="3" t="inlineStr">
        <is>
          <t>Tiếng Anh</t>
        </is>
      </c>
      <c r="C96" s="22" t="n">
        <v>1</v>
      </c>
      <c r="D96" s="3" t="inlineStr">
        <is>
          <t>Sau Unit 5</t>
        </is>
      </c>
      <c r="E96" s="3" t="inlineStr">
        <is>
          <t>Animals</t>
        </is>
      </c>
      <c r="F96" s="23" t="n">
        <v>2</v>
      </c>
      <c r="G96" s="3" t="inlineStr">
        <is>
          <t>Cơ bản</t>
        </is>
      </c>
      <c r="H96" s="22" t="n"/>
      <c r="I96" s="3" t="n"/>
      <c r="J96" s="3" t="inlineStr">
        <is>
          <t>Đúng / Sai</t>
        </is>
      </c>
      <c r="K96" s="3" t="inlineStr">
        <is>
          <t>"Fish" nghĩa là con cá.</t>
        </is>
      </c>
      <c r="L96" s="3" t="inlineStr">
        <is>
          <t>Đúng</t>
        </is>
      </c>
      <c r="M96" s="3" t="inlineStr">
        <is>
          <t>Sai</t>
        </is>
      </c>
      <c r="N96" s="3" t="n"/>
      <c r="O96" s="3" t="n"/>
      <c r="P96" s="3" t="n"/>
      <c r="Q96" s="3" t="inlineStr">
        <is>
          <t>A</t>
        </is>
      </c>
      <c r="R96" s="3" t="inlineStr">
        <is>
          <t>Fish là con cá.</t>
        </is>
      </c>
      <c r="S96" s="3" t="n"/>
      <c r="T96" s="22" t="n">
        <v>40</v>
      </c>
      <c r="U96" s="22">
        <f>INDEX(Khung_cap_do!$H$2:$H$6,F96)</f>
        <v/>
      </c>
      <c r="V96" s="22" t="n">
        <v>4</v>
      </c>
      <c r="W96" s="22" t="n">
        <v>3</v>
      </c>
      <c r="X96" s="3" t="inlineStr">
        <is>
          <t>A1.ANIMAL.01</t>
        </is>
      </c>
      <c r="Y96" s="3" t="inlineStr">
        <is>
          <t>TA.TUVUNG</t>
        </is>
      </c>
      <c r="Z96" s="3" t="inlineStr">
        <is>
          <t>Soạn thêm</t>
        </is>
      </c>
      <c r="AA96" s="3" t="inlineStr"/>
      <c r="AB96" s="3" t="inlineStr">
        <is>
          <t>Đã học fish (Unit 5).</t>
        </is>
      </c>
      <c r="AC96" s="3" t="inlineStr">
        <is>
          <t>Làm quen tiếng Anh lớp 1; từ vựng Global Success 1 (Unit 1–8).</t>
        </is>
      </c>
      <c r="AD96" s="3" t="inlineStr">
        <is>
          <t>EduChain Kids soạn thêm (2026-10); bám chương trình GDPT 2018 và trình tự SGK đã chọn</t>
        </is>
      </c>
      <c r="AE96" s="3" t="inlineStr">
        <is>
          <t>Bản soạn mới — cần rà soát</t>
        </is>
      </c>
      <c r="AF96" s="3" t="inlineStr">
        <is>
          <t>Chờ giáo viên duyệt</t>
        </is>
      </c>
      <c r="AG96" s="3" t="n"/>
    </row>
    <row r="97">
      <c r="A97" s="3" t="inlineStr">
        <is>
          <t>EC1-104</t>
        </is>
      </c>
      <c r="B97" s="3" t="inlineStr">
        <is>
          <t>Tiếng Anh</t>
        </is>
      </c>
      <c r="C97" s="22" t="n">
        <v>1</v>
      </c>
      <c r="D97" s="3" t="inlineStr">
        <is>
          <t>Sau Unit 3</t>
        </is>
      </c>
      <c r="E97" s="3" t="inlineStr">
        <is>
          <t>Spelling</t>
        </is>
      </c>
      <c r="F97" s="23" t="n">
        <v>2</v>
      </c>
      <c r="G97" s="3" t="inlineStr">
        <is>
          <t>Cơ bản</t>
        </is>
      </c>
      <c r="H97" s="22" t="n"/>
      <c r="I97" s="3" t="n"/>
      <c r="J97" s="3" t="inlineStr">
        <is>
          <t>Điền đáp án</t>
        </is>
      </c>
      <c r="K97" s="3" t="inlineStr">
        <is>
          <t>Điền chữ cái còn thiếu: _at (cái mũ)</t>
        </is>
      </c>
      <c r="L97" s="3" t="n"/>
      <c r="M97" s="3" t="n"/>
      <c r="N97" s="3" t="n"/>
      <c r="O97" s="3" t="n"/>
      <c r="P97" s="3" t="n"/>
      <c r="Q97" s="3" t="inlineStr">
        <is>
          <t>h</t>
        </is>
      </c>
      <c r="R97" s="3" t="inlineStr">
        <is>
          <t>hat – cái mũ.</t>
        </is>
      </c>
      <c r="S97" s="3" t="n"/>
      <c r="T97" s="22" t="n">
        <v>50</v>
      </c>
      <c r="U97" s="22">
        <f>INDEX(Khung_cap_do!$H$2:$H$6,F97)</f>
        <v/>
      </c>
      <c r="V97" s="22" t="n">
        <v>4</v>
      </c>
      <c r="W97" s="22" t="n">
        <v>4</v>
      </c>
      <c r="X97" s="3" t="inlineStr">
        <is>
          <t>A1.ABC.02</t>
        </is>
      </c>
      <c r="Y97" s="3" t="inlineStr">
        <is>
          <t>TA.CHUCAI</t>
        </is>
      </c>
      <c r="Z97" s="3" t="inlineStr">
        <is>
          <t>Soạn thêm</t>
        </is>
      </c>
      <c r="AA97" s="3" t="inlineStr"/>
      <c r="AB97" s="3" t="inlineStr">
        <is>
          <t>Đã học hat (Unit 3) và chữ h (Unit 8).</t>
        </is>
      </c>
      <c r="AC97" s="3" t="inlineStr">
        <is>
          <t>Làm quen tiếng Anh lớp 1; từ vựng Global Success 1 (Unit 1–8).</t>
        </is>
      </c>
      <c r="AD97" s="3" t="inlineStr">
        <is>
          <t>EduChain Kids soạn thêm (2026-10); bám chương trình GDPT 2018 và trình tự SGK đã chọn</t>
        </is>
      </c>
      <c r="AE97" s="3" t="inlineStr">
        <is>
          <t>Bản soạn mới — cần rà soát</t>
        </is>
      </c>
      <c r="AF97" s="3" t="inlineStr">
        <is>
          <t>Chờ giáo viên duyệt</t>
        </is>
      </c>
      <c r="AG97" s="3" t="n"/>
    </row>
    <row r="98">
      <c r="A98" s="3" t="inlineStr">
        <is>
          <t>EC1-037</t>
        </is>
      </c>
      <c r="B98" s="3" t="inlineStr">
        <is>
          <t>Tiếng Anh</t>
        </is>
      </c>
      <c r="C98" s="22" t="n">
        <v>1</v>
      </c>
      <c r="D98" s="3" t="inlineStr">
        <is>
          <t>Theo chương trình trường lựa chọn</t>
        </is>
      </c>
      <c r="E98" s="3" t="inlineStr">
        <is>
          <t>Colours</t>
        </is>
      </c>
      <c r="F98" s="23" t="n">
        <v>3</v>
      </c>
      <c r="G98" s="3" t="inlineStr">
        <is>
          <t>Vận dụng</t>
        </is>
      </c>
      <c r="H98" s="22" t="n"/>
      <c r="I98" s="3" t="n"/>
      <c r="J98" s="3" t="inlineStr">
        <is>
          <t>Chọn đáp án</t>
        </is>
      </c>
      <c r="K98" s="3" t="inlineStr">
        <is>
          <t>A ripe banana is usually ___.</t>
        </is>
      </c>
      <c r="L98" s="3" t="inlineStr">
        <is>
          <t>yellow</t>
        </is>
      </c>
      <c r="M98" s="3" t="inlineStr">
        <is>
          <t>blue</t>
        </is>
      </c>
      <c r="N98" s="3" t="inlineStr">
        <is>
          <t>purple</t>
        </is>
      </c>
      <c r="O98" s="3" t="n"/>
      <c r="P98" s="3" t="n"/>
      <c r="Q98" s="3" t="inlineStr">
        <is>
          <t>A</t>
        </is>
      </c>
      <c r="R98" s="3" t="inlineStr">
        <is>
          <t>Quả chuối chín thường có màu vàng.</t>
        </is>
      </c>
      <c r="S98" s="3" t="inlineStr">
        <is>
          <t>Ripe banana = quả chuối chín. Chuối chín có màu vàng: yellow.</t>
        </is>
      </c>
      <c r="T98" s="22" t="n">
        <v>50</v>
      </c>
      <c r="U98" s="22">
        <f>INDEX(Khung_cap_do!$H$2:$H$6,F98)</f>
        <v/>
      </c>
      <c r="V98" s="22" t="n">
        <v>1</v>
      </c>
      <c r="W98" s="22" t="n">
        <v>5</v>
      </c>
      <c r="X98" s="3" t="inlineStr">
        <is>
          <t>A1.COLOUR.01</t>
        </is>
      </c>
      <c r="Y98" s="3" t="inlineStr">
        <is>
          <t>TA.MAUCAU</t>
        </is>
      </c>
      <c r="Z98" s="3" t="inlineStr">
        <is>
          <t>Bộ mẫu</t>
        </is>
      </c>
      <c r="AA98" s="3" t="inlineStr"/>
      <c r="AB98" s="3" t="inlineStr">
        <is>
          <t>Đã học yellow và từ banana hoặc có tranh hỗ trợ.</t>
        </is>
      </c>
      <c r="AC98" s="3" t="inlineStr">
        <is>
          <t>Tình huống kết hợp từ đã học; cần duyệt.</t>
        </is>
      </c>
      <c r="AD98" s="3" t="inlineStr">
        <is>
          <t>Chương trình GDPT 2018 / kế hoạch dạy học của trường; đối chiếu văn bản hiện hành</t>
        </is>
      </c>
      <c r="AE98" s="3" t="inlineStr">
        <is>
          <t>Bản mẫu — cần rà soát</t>
        </is>
      </c>
      <c r="AF98" s="3" t="inlineStr">
        <is>
          <t>Chờ giáo viên duyệt</t>
        </is>
      </c>
      <c r="AG98" s="3" t="n"/>
    </row>
    <row r="99">
      <c r="A99" s="3" t="inlineStr">
        <is>
          <t>EC1-038</t>
        </is>
      </c>
      <c r="B99" s="3" t="inlineStr">
        <is>
          <t>Tiếng Anh</t>
        </is>
      </c>
      <c r="C99" s="22" t="n">
        <v>1</v>
      </c>
      <c r="D99" s="3" t="inlineStr">
        <is>
          <t>Theo chương trình trường lựa chọn</t>
        </is>
      </c>
      <c r="E99" s="3" t="inlineStr">
        <is>
          <t>Classroom language</t>
        </is>
      </c>
      <c r="F99" s="23" t="n">
        <v>3</v>
      </c>
      <c r="G99" s="3" t="inlineStr">
        <is>
          <t>Vận dụng</t>
        </is>
      </c>
      <c r="H99" s="22" t="n"/>
      <c r="I99" s="3" t="n"/>
      <c r="J99" s="3" t="inlineStr">
        <is>
          <t>Chọn đáp án</t>
        </is>
      </c>
      <c r="K99" s="3" t="inlineStr">
        <is>
          <t>Giáo viên nói “Listen”. Em nên làm gì?</t>
        </is>
      </c>
      <c r="L99" s="3" t="inlineStr">
        <is>
          <t>Lắng nghe</t>
        </is>
      </c>
      <c r="M99" s="3" t="inlineStr">
        <is>
          <t>Chạy ra ngoài</t>
        </is>
      </c>
      <c r="N99" s="3" t="inlineStr">
        <is>
          <t>Ngủ</t>
        </is>
      </c>
      <c r="O99" s="3" t="n"/>
      <c r="P99" s="3" t="n"/>
      <c r="Q99" s="3" t="inlineStr">
        <is>
          <t>A</t>
        </is>
      </c>
      <c r="R99" s="3" t="inlineStr">
        <is>
          <t>Listen là yêu cầu lắng nghe.</t>
        </is>
      </c>
      <c r="S99" s="3" t="inlineStr">
        <is>
          <t>Listen nghĩa là "Hãy lắng nghe". Em ngồi yên và nghe cô nói.</t>
        </is>
      </c>
      <c r="T99" s="22" t="n">
        <v>50</v>
      </c>
      <c r="U99" s="22">
        <f>INDEX(Khung_cap_do!$H$2:$H$6,F99)</f>
        <v/>
      </c>
      <c r="V99" s="22" t="n">
        <v>1</v>
      </c>
      <c r="W99" s="22" t="n">
        <v>6</v>
      </c>
      <c r="X99" s="3" t="inlineStr">
        <is>
          <t>A1.HELLO.02</t>
        </is>
      </c>
      <c r="Y99" s="3" t="inlineStr">
        <is>
          <t>TA.TUVUNG</t>
        </is>
      </c>
      <c r="Z99" s="3" t="inlineStr">
        <is>
          <t>Bộ mẫu</t>
        </is>
      </c>
      <c r="AA99" s="3" t="inlineStr">
        <is>
          <t>[Chọn đáp án] Giáo viên nói "Listen". Em nên làm gì?
A. Lắng nghe | B. Chạy ra ngoài | C. Ngủ
Đáp án: A</t>
        </is>
      </c>
      <c r="AB99" s="3" t="inlineStr">
        <is>
          <t>Từ chỉ dẫn đã được dạy bằng ngữ cảnh.</t>
        </is>
      </c>
      <c r="AC99" s="3" t="inlineStr">
        <is>
          <t>Chỉ dùng nếu có trong chương trình trường.</t>
        </is>
      </c>
      <c r="AD99" s="3" t="inlineStr">
        <is>
          <t>Chương trình GDPT 2018 / kế hoạch dạy học của trường; đối chiếu văn bản hiện hành</t>
        </is>
      </c>
      <c r="AE99" s="3" t="inlineStr">
        <is>
          <t>Bản mẫu — cần rà soát</t>
        </is>
      </c>
      <c r="AF99" s="3" t="inlineStr">
        <is>
          <t>Chờ giáo viên duyệt</t>
        </is>
      </c>
      <c r="AG99" s="3" t="n"/>
    </row>
    <row r="100">
      <c r="A100" s="3" t="inlineStr">
        <is>
          <t>EC1-039</t>
        </is>
      </c>
      <c r="B100" s="3" t="inlineStr">
        <is>
          <t>Tiếng Anh</t>
        </is>
      </c>
      <c r="C100" s="22" t="n">
        <v>1</v>
      </c>
      <c r="D100" s="3" t="inlineStr">
        <is>
          <t>Theo chương trình trường lựa chọn</t>
        </is>
      </c>
      <c r="E100" s="3" t="inlineStr">
        <is>
          <t>Introductions</t>
        </is>
      </c>
      <c r="F100" s="23" t="n">
        <v>3</v>
      </c>
      <c r="G100" s="3" t="inlineStr">
        <is>
          <t>Vận dụng</t>
        </is>
      </c>
      <c r="H100" s="22" t="n"/>
      <c r="I100" s="3" t="n"/>
      <c r="J100" s="3" t="inlineStr">
        <is>
          <t>Chọn đáp án</t>
        </is>
      </c>
      <c r="K100" s="3" t="inlineStr">
        <is>
          <t>Chọn câu dùng để nói tên mình.</t>
        </is>
      </c>
      <c r="L100" s="3" t="inlineStr">
        <is>
          <t>My name is Lan.</t>
        </is>
      </c>
      <c r="M100" s="3" t="inlineStr">
        <is>
          <t>It is blue.</t>
        </is>
      </c>
      <c r="N100" s="3" t="inlineStr">
        <is>
          <t>Good night.</t>
        </is>
      </c>
      <c r="O100" s="3" t="n"/>
      <c r="P100" s="3" t="n"/>
      <c r="Q100" s="3" t="inlineStr">
        <is>
          <t>A</t>
        </is>
      </c>
      <c r="R100" s="3" t="inlineStr">
        <is>
          <t>My name is Lan dùng để giới thiệu tên.</t>
        </is>
      </c>
      <c r="S100" s="3" t="inlineStr">
        <is>
          <t>"My name is …" nghĩa là "Tên mình là …".</t>
        </is>
      </c>
      <c r="T100" s="22" t="n">
        <v>50</v>
      </c>
      <c r="U100" s="22">
        <f>INDEX(Khung_cap_do!$H$2:$H$6,F100)</f>
        <v/>
      </c>
      <c r="V100" s="22" t="n">
        <v>2</v>
      </c>
      <c r="W100" s="22" t="n">
        <v>5</v>
      </c>
      <c r="X100" s="3" t="inlineStr">
        <is>
          <t>A1.HELLO.03</t>
        </is>
      </c>
      <c r="Y100" s="3" t="inlineStr">
        <is>
          <t>TA.MAUCAU</t>
        </is>
      </c>
      <c r="Z100" s="3" t="inlineStr">
        <is>
          <t>Bộ mẫu</t>
        </is>
      </c>
      <c r="AA100" s="3" t="inlineStr"/>
      <c r="AB100" s="3" t="inlineStr">
        <is>
          <t>Mẫu câu đã được dạy.</t>
        </is>
      </c>
      <c r="AC100" s="3" t="inlineStr">
        <is>
          <t>Tên Lan là ví dụ; không cần học sinh cung cấp dữ liệu cá nhân.</t>
        </is>
      </c>
      <c r="AD100" s="3" t="inlineStr">
        <is>
          <t>Chương trình GDPT 2018 / kế hoạch dạy học của trường; đối chiếu văn bản hiện hành</t>
        </is>
      </c>
      <c r="AE100" s="3" t="inlineStr">
        <is>
          <t>Bản mẫu — cần rà soát</t>
        </is>
      </c>
      <c r="AF100" s="3" t="inlineStr">
        <is>
          <t>Chờ giáo viên duyệt</t>
        </is>
      </c>
      <c r="AG100" s="3" t="n"/>
    </row>
    <row r="101">
      <c r="A101" s="3" t="inlineStr">
        <is>
          <t>EC1-105</t>
        </is>
      </c>
      <c r="B101" s="3" t="inlineStr">
        <is>
          <t>Tiếng Anh</t>
        </is>
      </c>
      <c r="C101" s="22" t="n">
        <v>1</v>
      </c>
      <c r="D101" s="3" t="inlineStr">
        <is>
          <t>Sau Unit 8</t>
        </is>
      </c>
      <c r="E101" s="3" t="inlineStr">
        <is>
          <t>Animals</t>
        </is>
      </c>
      <c r="F101" s="23" t="n">
        <v>3</v>
      </c>
      <c r="G101" s="3" t="inlineStr">
        <is>
          <t>Vận dụng</t>
        </is>
      </c>
      <c r="H101" s="22" t="n"/>
      <c r="I101" s="3" t="n"/>
      <c r="J101" s="3" t="inlineStr">
        <is>
          <t>Chọn nhiều đáp án</t>
        </is>
      </c>
      <c r="K101" s="3" t="inlineStr">
        <is>
          <t>Chọn TẤT CẢ từ chỉ con vật.</t>
        </is>
      </c>
      <c r="L101" s="3" t="inlineStr">
        <is>
          <t>duck</t>
        </is>
      </c>
      <c r="M101" s="3" t="inlineStr">
        <is>
          <t>goat</t>
        </is>
      </c>
      <c r="N101" s="3" t="inlineStr">
        <is>
          <t>desk</t>
        </is>
      </c>
      <c r="O101" s="3" t="inlineStr">
        <is>
          <t>horse</t>
        </is>
      </c>
      <c r="P101" s="3" t="n"/>
      <c r="Q101" s="3" t="inlineStr">
        <is>
          <t>A, B, D</t>
        </is>
      </c>
      <c r="R101" s="3" t="inlineStr">
        <is>
          <t>duck, goat, horse là con vật; desk là cái bàn.</t>
        </is>
      </c>
      <c r="S101" s="3" t="inlineStr">
        <is>
          <t>duck – con vịt, goat – con dê, horse – con ngựa. Desk là cái bàn học.</t>
        </is>
      </c>
      <c r="T101" s="22" t="n">
        <v>60</v>
      </c>
      <c r="U101" s="22">
        <f>INDEX(Khung_cap_do!$H$2:$H$6,F101)</f>
        <v/>
      </c>
      <c r="V101" s="22" t="n">
        <v>2</v>
      </c>
      <c r="W101" s="22" t="n">
        <v>6</v>
      </c>
      <c r="X101" s="3" t="inlineStr">
        <is>
          <t>A1.ANIMAL.01</t>
        </is>
      </c>
      <c r="Y101" s="3" t="inlineStr">
        <is>
          <t>TA.NHOMTU</t>
        </is>
      </c>
      <c r="Z101" s="3" t="inlineStr">
        <is>
          <t>Soạn thêm</t>
        </is>
      </c>
      <c r="AA101" s="3" t="inlineStr"/>
      <c r="AB101" s="3" t="inlineStr">
        <is>
          <t>Đã học duck, desk (Unit 4), goat (Unit 7), horse (Unit 8).</t>
        </is>
      </c>
      <c r="AC101" s="3" t="inlineStr">
        <is>
          <t>Làm quen tiếng Anh lớp 1; từ vựng Global Success 1 (Unit 1–8).</t>
        </is>
      </c>
      <c r="AD101" s="3" t="inlineStr">
        <is>
          <t>EduChain Kids soạn thêm (2026-10); bám chương trình GDPT 2018 và trình tự SGK đã chọn</t>
        </is>
      </c>
      <c r="AE101" s="3" t="inlineStr">
        <is>
          <t>Bản soạn mới — cần rà soát</t>
        </is>
      </c>
      <c r="AF101" s="3" t="inlineStr">
        <is>
          <t>Chờ giáo viên duyệt</t>
        </is>
      </c>
      <c r="AG101" s="3" t="n"/>
    </row>
    <row r="102">
      <c r="A102" s="3" t="inlineStr">
        <is>
          <t>EC1-106</t>
        </is>
      </c>
      <c r="B102" s="3" t="inlineStr">
        <is>
          <t>Tiếng Anh</t>
        </is>
      </c>
      <c r="C102" s="22" t="n">
        <v>1</v>
      </c>
      <c r="D102" s="3" t="inlineStr">
        <is>
          <t>Sau Unit 6</t>
        </is>
      </c>
      <c r="E102" s="3" t="inlineStr">
        <is>
          <t>This is my …</t>
        </is>
      </c>
      <c r="F102" s="23" t="n">
        <v>3</v>
      </c>
      <c r="G102" s="3" t="inlineStr">
        <is>
          <t>Vận dụng</t>
        </is>
      </c>
      <c r="H102" s="22" t="n"/>
      <c r="I102" s="3" t="n"/>
      <c r="J102" s="3" t="inlineStr">
        <is>
          <t>Chọn đáp án</t>
        </is>
      </c>
      <c r="K102" s="3" t="inlineStr">
        <is>
          <t>Hoàn thành câu: "This is my ___." (cái túi)</t>
        </is>
      </c>
      <c r="L102" s="3" t="inlineStr">
        <is>
          <t>bag</t>
        </is>
      </c>
      <c r="M102" s="3" t="inlineStr">
        <is>
          <t>bell</t>
        </is>
      </c>
      <c r="N102" s="3" t="inlineStr">
        <is>
          <t>bike</t>
        </is>
      </c>
      <c r="O102" s="3" t="n"/>
      <c r="P102" s="3" t="n"/>
      <c r="Q102" s="3" t="inlineStr">
        <is>
          <t>A</t>
        </is>
      </c>
      <c r="R102" s="3" t="inlineStr">
        <is>
          <t>bag – cái túi.</t>
        </is>
      </c>
      <c r="S102" s="3" t="inlineStr">
        <is>
          <t>"This is my bag." nghĩa là "Đây là cái túi của mình."</t>
        </is>
      </c>
      <c r="T102" s="22" t="n">
        <v>50</v>
      </c>
      <c r="U102" s="22">
        <f>INDEX(Khung_cap_do!$H$2:$H$6,F102)</f>
        <v/>
      </c>
      <c r="V102" s="22" t="n">
        <v>3</v>
      </c>
      <c r="W102" s="22" t="n">
        <v>5</v>
      </c>
      <c r="X102" s="3" t="inlineStr">
        <is>
          <t>A1.SCHOOL.01</t>
        </is>
      </c>
      <c r="Y102" s="3" t="inlineStr">
        <is>
          <t>TA.MAUCAU</t>
        </is>
      </c>
      <c r="Z102" s="3" t="inlineStr">
        <is>
          <t>Soạn thêm</t>
        </is>
      </c>
      <c r="AA102" s="3" t="inlineStr"/>
      <c r="AB102" s="3" t="inlineStr">
        <is>
          <t>Đã học bag (Unit 3), bell (Unit 6), bike (Unit 1).</t>
        </is>
      </c>
      <c r="AC102" s="3" t="inlineStr">
        <is>
          <t>Làm quen tiếng Anh lớp 1; từ vựng Global Success 1 (Unit 1–8).</t>
        </is>
      </c>
      <c r="AD102" s="3" t="inlineStr">
        <is>
          <t>EduChain Kids soạn thêm (2026-10); bám chương trình GDPT 2018 và trình tự SGK đã chọn</t>
        </is>
      </c>
      <c r="AE102" s="3" t="inlineStr">
        <is>
          <t>Bản soạn mới — cần rà soát</t>
        </is>
      </c>
      <c r="AF102" s="3" t="inlineStr">
        <is>
          <t>Chờ giáo viên duyệt</t>
        </is>
      </c>
      <c r="AG102" s="3" t="n"/>
    </row>
    <row r="103">
      <c r="A103" s="3" t="inlineStr">
        <is>
          <t>EC1-107</t>
        </is>
      </c>
      <c r="B103" s="3" t="inlineStr">
        <is>
          <t>Tiếng Anh</t>
        </is>
      </c>
      <c r="C103" s="22" t="n">
        <v>1</v>
      </c>
      <c r="D103" s="3" t="inlineStr">
        <is>
          <t>Sau Unit 3</t>
        </is>
      </c>
      <c r="E103" s="3" t="inlineStr">
        <is>
          <t>I have …</t>
        </is>
      </c>
      <c r="F103" s="23" t="n">
        <v>3</v>
      </c>
      <c r="G103" s="3" t="inlineStr">
        <is>
          <t>Vận dụng</t>
        </is>
      </c>
      <c r="H103" s="22" t="n"/>
      <c r="I103" s="3" t="n"/>
      <c r="J103" s="3" t="inlineStr">
        <is>
          <t>Điền đáp án</t>
        </is>
      </c>
      <c r="K103" s="3" t="inlineStr">
        <is>
          <t>Điền từ: "I have a ___." (quả bóng)</t>
        </is>
      </c>
      <c r="L103" s="3" t="n"/>
      <c r="M103" s="3" t="n"/>
      <c r="N103" s="3" t="n"/>
      <c r="O103" s="3" t="n"/>
      <c r="P103" s="3" t="n"/>
      <c r="Q103" s="3" t="inlineStr">
        <is>
          <t>ball</t>
        </is>
      </c>
      <c r="R103" s="3" t="inlineStr">
        <is>
          <t>ball – quả bóng.</t>
        </is>
      </c>
      <c r="S103" s="3" t="inlineStr">
        <is>
          <t>"I have a ball." nghĩa là "Mình có một quả bóng."</t>
        </is>
      </c>
      <c r="T103" s="22" t="n">
        <v>60</v>
      </c>
      <c r="U103" s="22">
        <f>INDEX(Khung_cap_do!$H$2:$H$6,F103)</f>
        <v/>
      </c>
      <c r="V103" s="22" t="n">
        <v>3</v>
      </c>
      <c r="W103" s="22" t="n">
        <v>6</v>
      </c>
      <c r="X103" s="3" t="inlineStr">
        <is>
          <t>A1.EXTRA.01</t>
        </is>
      </c>
      <c r="Y103" s="3" t="inlineStr">
        <is>
          <t>TA.MAUCAU</t>
        </is>
      </c>
      <c r="Z103" s="3" t="inlineStr">
        <is>
          <t>Soạn thêm</t>
        </is>
      </c>
      <c r="AA103" s="3" t="inlineStr"/>
      <c r="AB103" s="3" t="inlineStr">
        <is>
          <t>Đã học ball và mẫu câu I have a … .</t>
        </is>
      </c>
      <c r="AC103" s="3" t="inlineStr">
        <is>
          <t>Làm quen tiếng Anh lớp 1; từ vựng Global Success 1 (Unit 1–8).</t>
        </is>
      </c>
      <c r="AD103" s="3" t="inlineStr">
        <is>
          <t>EduChain Kids soạn thêm (2026-10); bám chương trình GDPT 2018 và trình tự SGK đã chọn</t>
        </is>
      </c>
      <c r="AE103" s="3" t="inlineStr">
        <is>
          <t>Bản soạn mới — cần rà soát</t>
        </is>
      </c>
      <c r="AF103" s="3" t="inlineStr">
        <is>
          <t>Chờ giáo viên duyệt</t>
        </is>
      </c>
      <c r="AG103" s="3" t="n"/>
    </row>
    <row r="104">
      <c r="A104" s="3" t="inlineStr">
        <is>
          <t>EC1-108</t>
        </is>
      </c>
      <c r="B104" s="3" t="inlineStr">
        <is>
          <t>Tiếng Anh</t>
        </is>
      </c>
      <c r="C104" s="22" t="n">
        <v>1</v>
      </c>
      <c r="D104" s="3" t="inlineStr">
        <is>
          <t>Sau Unit 7</t>
        </is>
      </c>
      <c r="E104" s="3" t="inlineStr">
        <is>
          <t>I can see …</t>
        </is>
      </c>
      <c r="F104" s="23" t="n">
        <v>3</v>
      </c>
      <c r="G104" s="3" t="inlineStr">
        <is>
          <t>Vận dụng</t>
        </is>
      </c>
      <c r="H104" s="22" t="n"/>
      <c r="I104" s="3" t="n"/>
      <c r="J104" s="3" t="inlineStr">
        <is>
          <t>Chọn đáp án</t>
        </is>
      </c>
      <c r="K104" s="3" t="inlineStr">
        <is>
          <t>Nghe "I can see a goat." Bạn nhìn thấy con gì?</t>
        </is>
      </c>
      <c r="L104" s="3" t="inlineStr">
        <is>
          <t>Con dê</t>
        </is>
      </c>
      <c r="M104" s="3" t="inlineStr">
        <is>
          <t>Con ngựa</t>
        </is>
      </c>
      <c r="N104" s="3" t="inlineStr">
        <is>
          <t>Con vịt</t>
        </is>
      </c>
      <c r="O104" s="3" t="n"/>
      <c r="P104" s="3" t="n"/>
      <c r="Q104" s="3" t="inlineStr">
        <is>
          <t>A</t>
        </is>
      </c>
      <c r="R104" s="3" t="inlineStr">
        <is>
          <t>goat – con dê.</t>
        </is>
      </c>
      <c r="S104" s="3" t="inlineStr">
        <is>
          <t>"I can see a goat." nghĩa là "Mình nhìn thấy một con dê."</t>
        </is>
      </c>
      <c r="T104" s="22" t="n">
        <v>50</v>
      </c>
      <c r="U104" s="22">
        <f>INDEX(Khung_cap_do!$H$2:$H$6,F104)</f>
        <v/>
      </c>
      <c r="V104" s="22" t="n">
        <v>4</v>
      </c>
      <c r="W104" s="22" t="n">
        <v>5</v>
      </c>
      <c r="X104" s="3" t="inlineStr">
        <is>
          <t>A1.ANIMAL.01</t>
        </is>
      </c>
      <c r="Y104" s="3" t="inlineStr">
        <is>
          <t>TA.TUVUNG</t>
        </is>
      </c>
      <c r="Z104" s="3" t="inlineStr">
        <is>
          <t>Soạn thêm</t>
        </is>
      </c>
      <c r="AA104" s="3" t="inlineStr"/>
      <c r="AB104" s="3" t="inlineStr">
        <is>
          <t>Đã học goat và mẫu câu I can see … .</t>
        </is>
      </c>
      <c r="AC104" s="3" t="inlineStr">
        <is>
          <t>Làm quen tiếng Anh lớp 1; từ vựng Global Success 1 (Unit 1–8).</t>
        </is>
      </c>
      <c r="AD104" s="3" t="inlineStr">
        <is>
          <t>EduChain Kids soạn thêm (2026-10); bám chương trình GDPT 2018 và trình tự SGK đã chọn</t>
        </is>
      </c>
      <c r="AE104" s="3" t="inlineStr">
        <is>
          <t>Bản soạn mới — cần rà soát</t>
        </is>
      </c>
      <c r="AF104" s="3" t="inlineStr">
        <is>
          <t>Chờ giáo viên duyệt</t>
        </is>
      </c>
      <c r="AG104" s="3" t="n"/>
    </row>
    <row r="105">
      <c r="A105" s="3" t="inlineStr">
        <is>
          <t>EC1-109</t>
        </is>
      </c>
      <c r="B105" s="3" t="inlineStr">
        <is>
          <t>Tiếng Anh</t>
        </is>
      </c>
      <c r="C105" s="22" t="n">
        <v>1</v>
      </c>
      <c r="D105" s="3" t="inlineStr">
        <is>
          <t>Sau Unit 8</t>
        </is>
      </c>
      <c r="E105" s="3" t="inlineStr">
        <is>
          <t>Body parts</t>
        </is>
      </c>
      <c r="F105" s="23" t="n">
        <v>3</v>
      </c>
      <c r="G105" s="3" t="inlineStr">
        <is>
          <t>Vận dụng</t>
        </is>
      </c>
      <c r="H105" s="22" t="n"/>
      <c r="I105" s="3" t="n"/>
      <c r="J105" s="3" t="inlineStr">
        <is>
          <t>Ghép cặp</t>
        </is>
      </c>
      <c r="K105" s="3" t="inlineStr">
        <is>
          <t>Nối từ với bộ phận cơ thể.
(Vế trái: hand / head / hair · Vế phải: bàn tay / cái đầu / mái tóc)</t>
        </is>
      </c>
      <c r="L105" s="3" t="n"/>
      <c r="M105" s="3" t="n"/>
      <c r="N105" s="3" t="n"/>
      <c r="O105" s="3" t="n"/>
      <c r="P105" s="3" t="n"/>
      <c r="Q105" s="3" t="inlineStr">
        <is>
          <t>hand – bàn tay; head – cái đầu; hair – mái tóc</t>
        </is>
      </c>
      <c r="R105" s="3" t="inlineStr">
        <is>
          <t>hand – bàn tay, head – cái đầu, hair – mái tóc.</t>
        </is>
      </c>
      <c r="S105" s="3" t="inlineStr">
        <is>
          <t>Ba từ đều bắt đầu bằng h. Hand là bàn tay, head là cái đầu, hair là mái tóc.</t>
        </is>
      </c>
      <c r="T105" s="22" t="n">
        <v>65</v>
      </c>
      <c r="U105" s="22">
        <f>INDEX(Khung_cap_do!$H$2:$H$6,F105)</f>
        <v/>
      </c>
      <c r="V105" s="22" t="n">
        <v>4</v>
      </c>
      <c r="W105" s="22" t="n">
        <v>6</v>
      </c>
      <c r="X105" s="3" t="inlineStr">
        <is>
          <t>A1.EXTRA.03</t>
        </is>
      </c>
      <c r="Y105" s="3" t="inlineStr">
        <is>
          <t>TA.NOINGHIA</t>
        </is>
      </c>
      <c r="Z105" s="3" t="inlineStr">
        <is>
          <t>Soạn thêm</t>
        </is>
      </c>
      <c r="AA105" s="3" t="inlineStr"/>
      <c r="AB105" s="3" t="inlineStr">
        <is>
          <t>Đã học hand, head, hair (Unit 8).</t>
        </is>
      </c>
      <c r="AC105" s="3" t="inlineStr">
        <is>
          <t>Làm quen tiếng Anh lớp 1; từ vựng Global Success 1 (Unit 1–8).</t>
        </is>
      </c>
      <c r="AD105" s="3" t="inlineStr">
        <is>
          <t>EduChain Kids soạn thêm (2026-10); bám chương trình GDPT 2018 và trình tự SGK đã chọn</t>
        </is>
      </c>
      <c r="AE105" s="3" t="inlineStr">
        <is>
          <t>Bản soạn mới — cần rà soát</t>
        </is>
      </c>
      <c r="AF105" s="3" t="inlineStr">
        <is>
          <t>Chờ giáo viên duyệt</t>
        </is>
      </c>
      <c r="AG105" s="3" t="n"/>
    </row>
    <row r="106">
      <c r="A106" s="3" t="inlineStr">
        <is>
          <t>EC1-040</t>
        </is>
      </c>
      <c r="B106" s="3" t="inlineStr">
        <is>
          <t>Tiếng Anh</t>
        </is>
      </c>
      <c r="C106" s="22" t="n">
        <v>1</v>
      </c>
      <c r="D106" s="3" t="inlineStr">
        <is>
          <t>Theo chương trình trường lựa chọn</t>
        </is>
      </c>
      <c r="E106" s="3" t="inlineStr">
        <is>
          <t>Listening instructions</t>
        </is>
      </c>
      <c r="F106" s="23" t="n">
        <v>4</v>
      </c>
      <c r="G106" s="3" t="inlineStr">
        <is>
          <t>Thử thách</t>
        </is>
      </c>
      <c r="H106" s="22" t="n"/>
      <c r="I106" s="3" t="n"/>
      <c r="J106" s="3" t="inlineStr">
        <is>
          <t>Nghe / chọn tranh</t>
        </is>
      </c>
      <c r="K106" s="3" t="inlineStr">
        <is>
          <t>Nghe “Point to the red book.” Chọn hình đúng.</t>
        </is>
      </c>
      <c r="L106" s="3" t="inlineStr">
        <is>
          <t>Sách đỏ</t>
        </is>
      </c>
      <c r="M106" s="3" t="inlineStr">
        <is>
          <t>Sách xanh</t>
        </is>
      </c>
      <c r="N106" s="3" t="inlineStr">
        <is>
          <t>Táo đỏ</t>
        </is>
      </c>
      <c r="O106" s="3" t="n"/>
      <c r="P106" s="3" t="n"/>
      <c r="Q106" s="3" t="inlineStr">
        <is>
          <t>A</t>
        </is>
      </c>
      <c r="R106" s="3" t="inlineStr">
        <is>
          <t>Chọn quyển sách màu đỏ.</t>
        </is>
      </c>
      <c r="S106" s="3" t="inlineStr">
        <is>
          <t>red book = quyển sách màu đỏ. Phải đúng cả màu (red) và đồ vật (book).</t>
        </is>
      </c>
      <c r="T106" s="22" t="n">
        <v>60</v>
      </c>
      <c r="U106" s="22">
        <f>INDEX(Khung_cap_do!$H$2:$H$6,F106)</f>
        <v/>
      </c>
      <c r="V106" s="22" t="n">
        <v>1</v>
      </c>
      <c r="W106" s="22" t="n">
        <v>7</v>
      </c>
      <c r="X106" s="3" t="inlineStr">
        <is>
          <t>A1.COLOUR.01</t>
        </is>
      </c>
      <c r="Y106" s="3" t="inlineStr">
        <is>
          <t>TA.TUVUNG</t>
        </is>
      </c>
      <c r="Z106" s="3" t="inlineStr">
        <is>
          <t>Bộ mẫu</t>
        </is>
      </c>
      <c r="AA106" s="3" t="inlineStr">
        <is>
          <t>[Chọn đáp án] Nghe "Point to the red book." Chọn hình đúng.
A. Sách đỏ | B. Sách xanh | C. Táo đỏ
Đáp án: A</t>
        </is>
      </c>
      <c r="AB106" s="3" t="inlineStr">
        <is>
          <t>Red, book và chỉ dẫn đã được luyện.</t>
        </is>
      </c>
      <c r="AC106" s="3" t="inlineStr">
        <is>
          <t>Cần audio và xác nhận tất cả từ đã học.</t>
        </is>
      </c>
      <c r="AD106" s="3" t="inlineStr">
        <is>
          <t>Chương trình GDPT 2018 / kế hoạch dạy học của trường; đối chiếu văn bản hiện hành</t>
        </is>
      </c>
      <c r="AE106" s="3" t="inlineStr">
        <is>
          <t>Bản mẫu — cần rà soát</t>
        </is>
      </c>
      <c r="AF106" s="3" t="inlineStr">
        <is>
          <t>Chờ giáo viên duyệt</t>
        </is>
      </c>
      <c r="AG106" s="3" t="n"/>
    </row>
    <row r="107">
      <c r="A107" s="3" t="inlineStr">
        <is>
          <t>EC1-041</t>
        </is>
      </c>
      <c r="B107" s="3" t="inlineStr">
        <is>
          <t>Tiếng Anh</t>
        </is>
      </c>
      <c r="C107" s="22" t="n">
        <v>1</v>
      </c>
      <c r="D107" s="3" t="inlineStr">
        <is>
          <t>Theo chương trình trường lựa chọn</t>
        </is>
      </c>
      <c r="E107" s="3" t="inlineStr">
        <is>
          <t>Simple responses</t>
        </is>
      </c>
      <c r="F107" s="23" t="n">
        <v>4</v>
      </c>
      <c r="G107" s="3" t="inlineStr">
        <is>
          <t>Thử thách</t>
        </is>
      </c>
      <c r="H107" s="22" t="n"/>
      <c r="I107" s="3" t="n"/>
      <c r="J107" s="3" t="inlineStr">
        <is>
          <t>Chọn đáp án</t>
        </is>
      </c>
      <c r="K107" s="3" t="inlineStr">
        <is>
          <t>Nếu bạn nói “Thank you”, câu đáp nào phù hợp?</t>
        </is>
      </c>
      <c r="L107" s="3" t="inlineStr">
        <is>
          <t>You’re welcome.</t>
        </is>
      </c>
      <c r="M107" s="3" t="inlineStr">
        <is>
          <t>Good morning.</t>
        </is>
      </c>
      <c r="N107" s="3" t="inlineStr">
        <is>
          <t>It’s a pen.</t>
        </is>
      </c>
      <c r="O107" s="3" t="n"/>
      <c r="P107" s="3" t="n"/>
      <c r="Q107" s="3" t="inlineStr">
        <is>
          <t>A</t>
        </is>
      </c>
      <c r="R107" s="3" t="inlineStr">
        <is>
          <t>You’re welcome là một cách đáp lời cảm ơn.</t>
        </is>
      </c>
      <c r="S107" s="3" t="inlineStr">
        <is>
          <t>Thank you là lời cảm ơn; đáp lại bằng You're welcome (Không có gì).</t>
        </is>
      </c>
      <c r="T107" s="22" t="n">
        <v>60</v>
      </c>
      <c r="U107" s="22">
        <f>INDEX(Khung_cap_do!$H$2:$H$6,F107)</f>
        <v/>
      </c>
      <c r="V107" s="22" t="n">
        <v>1</v>
      </c>
      <c r="W107" s="22" t="n">
        <v>8</v>
      </c>
      <c r="X107" s="3" t="inlineStr">
        <is>
          <t>A1.HELLO.01</t>
        </is>
      </c>
      <c r="Y107" s="3" t="inlineStr">
        <is>
          <t>TA.MAUCAU</t>
        </is>
      </c>
      <c r="Z107" s="3" t="inlineStr">
        <is>
          <t>Bộ mẫu</t>
        </is>
      </c>
      <c r="AA107" s="3" t="inlineStr">
        <is>
          <t>[Chọn đáp án] Nếu bạn nói "Thank you", câu đáp nào phù hợp?
A. You're welcome. | B. Good morning. | C. It's a pen.
Đáp án: A</t>
        </is>
      </c>
      <c r="AB107" s="3" t="inlineStr">
        <is>
          <t>Hai mẫu câu đều đã được dạy.</t>
        </is>
      </c>
      <c r="AC107" s="3" t="inlineStr">
        <is>
          <t>Chỉ phát hành nếu mẫu câu có trong giáo trình.</t>
        </is>
      </c>
      <c r="AD107" s="3" t="inlineStr">
        <is>
          <t>Chương trình GDPT 2018 / kế hoạch dạy học của trường; đối chiếu văn bản hiện hành</t>
        </is>
      </c>
      <c r="AE107" s="3" t="inlineStr">
        <is>
          <t>Bản mẫu — cần rà soát</t>
        </is>
      </c>
      <c r="AF107" s="3" t="inlineStr">
        <is>
          <t>Chờ giáo viên duyệt</t>
        </is>
      </c>
      <c r="AG107" s="3" t="n"/>
    </row>
    <row r="108">
      <c r="A108" s="3" t="inlineStr">
        <is>
          <t>EC1-042</t>
        </is>
      </c>
      <c r="B108" s="3" t="inlineStr">
        <is>
          <t>Tiếng Anh</t>
        </is>
      </c>
      <c r="C108" s="22" t="n">
        <v>1</v>
      </c>
      <c r="D108" s="3" t="inlineStr">
        <is>
          <t>Theo chương trình trường lựa chọn</t>
        </is>
      </c>
      <c r="E108" s="3" t="inlineStr">
        <is>
          <t>Listening comprehension</t>
        </is>
      </c>
      <c r="F108" s="23" t="n">
        <v>4</v>
      </c>
      <c r="G108" s="3" t="inlineStr">
        <is>
          <t>Thử thách</t>
        </is>
      </c>
      <c r="H108" s="22" t="n"/>
      <c r="I108" s="3" t="n"/>
      <c r="J108" s="3" t="inlineStr">
        <is>
          <t>Nghe / chọn tranh</t>
        </is>
      </c>
      <c r="K108" s="3" t="inlineStr">
        <is>
          <t>Nghe “I see a dog.” Chọn hình đúng.</t>
        </is>
      </c>
      <c r="L108" s="3" t="inlineStr">
        <is>
          <t>Con chó</t>
        </is>
      </c>
      <c r="M108" s="3" t="inlineStr">
        <is>
          <t>Con mèo</t>
        </is>
      </c>
      <c r="N108" s="3" t="inlineStr">
        <is>
          <t>Con cá</t>
        </is>
      </c>
      <c r="O108" s="3" t="n"/>
      <c r="P108" s="3" t="n"/>
      <c r="Q108" s="3" t="inlineStr">
        <is>
          <t>A</t>
        </is>
      </c>
      <c r="R108" s="3" t="inlineStr">
        <is>
          <t>Câu nói đến dog.</t>
        </is>
      </c>
      <c r="S108" s="3" t="inlineStr">
        <is>
          <t>"I see a dog." nghĩa là "Mình thấy một con chó." Dog là con chó.</t>
        </is>
      </c>
      <c r="T108" s="22" t="n">
        <v>60</v>
      </c>
      <c r="U108" s="22">
        <f>INDEX(Khung_cap_do!$H$2:$H$6,F108)</f>
        <v/>
      </c>
      <c r="V108" s="22" t="n">
        <v>2</v>
      </c>
      <c r="W108" s="22" t="n">
        <v>7</v>
      </c>
      <c r="X108" s="3" t="inlineStr">
        <is>
          <t>A1.ANIMAL.01</t>
        </is>
      </c>
      <c r="Y108" s="3" t="inlineStr">
        <is>
          <t>TA.TUVUNG</t>
        </is>
      </c>
      <c r="Z108" s="3" t="inlineStr">
        <is>
          <t>Bộ mẫu</t>
        </is>
      </c>
      <c r="AA108" s="3" t="inlineStr">
        <is>
          <t>[Chọn đáp án] Nghe "I see a dog." Chọn hình đúng.
A. Con chó | B. Con mèo | C. Con cá
Đáp án: A</t>
        </is>
      </c>
      <c r="AB108" s="3" t="inlineStr">
        <is>
          <t>Từ dog và mẫu câu đã được dạy; audio rõ.</t>
        </is>
      </c>
      <c r="AC108" s="3" t="inlineStr">
        <is>
          <t>Mẫu nội bộ; cần audio giáo viên kiểm duyệt.</t>
        </is>
      </c>
      <c r="AD108" s="3" t="inlineStr">
        <is>
          <t>Chương trình GDPT 2018 / kế hoạch dạy học của trường; đối chiếu văn bản hiện hành</t>
        </is>
      </c>
      <c r="AE108" s="3" t="inlineStr">
        <is>
          <t>Bản mẫu — cần rà soát</t>
        </is>
      </c>
      <c r="AF108" s="3" t="inlineStr">
        <is>
          <t>Chờ giáo viên duyệt</t>
        </is>
      </c>
      <c r="AG108" s="3" t="n"/>
    </row>
    <row r="109">
      <c r="A109" s="3" t="inlineStr">
        <is>
          <t>EC1-110</t>
        </is>
      </c>
      <c r="B109" s="3" t="inlineStr">
        <is>
          <t>Tiếng Anh</t>
        </is>
      </c>
      <c r="C109" s="22" t="n">
        <v>1</v>
      </c>
      <c r="D109" s="3" t="inlineStr">
        <is>
          <t>Sau Unit 6</t>
        </is>
      </c>
      <c r="E109" s="3" t="inlineStr">
        <is>
          <t>Colours + objects</t>
        </is>
      </c>
      <c r="F109" s="23" t="n">
        <v>4</v>
      </c>
      <c r="G109" s="3" t="inlineStr">
        <is>
          <t>Thử thách</t>
        </is>
      </c>
      <c r="H109" s="22" t="n"/>
      <c r="I109" s="3" t="n"/>
      <c r="J109" s="3" t="inlineStr">
        <is>
          <t>Chọn đáp án</t>
        </is>
      </c>
      <c r="K109" s="3" t="inlineStr">
        <is>
          <t>Nghe "a red pen". Chọn hình đúng.</t>
        </is>
      </c>
      <c r="L109" s="3" t="inlineStr">
        <is>
          <t>🖊️ bút mực màu đỏ</t>
        </is>
      </c>
      <c r="M109" s="3" t="inlineStr">
        <is>
          <t>🖊️ bút mực màu xanh</t>
        </is>
      </c>
      <c r="N109" s="3" t="inlineStr">
        <is>
          <t>✏️ bút chì màu đỏ</t>
        </is>
      </c>
      <c r="O109" s="3" t="n"/>
      <c r="P109" s="3" t="n"/>
      <c r="Q109" s="3" t="inlineStr">
        <is>
          <t>A</t>
        </is>
      </c>
      <c r="R109" s="3" t="inlineStr">
        <is>
          <t>red pen – bút mực màu đỏ.</t>
        </is>
      </c>
      <c r="S109" s="3" t="inlineStr">
        <is>
          <t>Phải đúng cả hai: màu red (đỏ) và đồ vật pen (bút mực).</t>
        </is>
      </c>
      <c r="T109" s="22" t="n">
        <v>60</v>
      </c>
      <c r="U109" s="22">
        <f>INDEX(Khung_cap_do!$H$2:$H$6,F109)</f>
        <v/>
      </c>
      <c r="V109" s="22" t="n">
        <v>2</v>
      </c>
      <c r="W109" s="22" t="n">
        <v>8</v>
      </c>
      <c r="X109" s="3" t="inlineStr">
        <is>
          <t>A1.COLOUR.01</t>
        </is>
      </c>
      <c r="Y109" s="3" t="inlineStr">
        <is>
          <t>TA.TUVUNG</t>
        </is>
      </c>
      <c r="Z109" s="3" t="inlineStr">
        <is>
          <t>Soạn thêm</t>
        </is>
      </c>
      <c r="AA109" s="3" t="inlineStr"/>
      <c r="AB109" s="3" t="inlineStr">
        <is>
          <t>Đã học red, pen, pencil (Unit 6).</t>
        </is>
      </c>
      <c r="AC109" s="3" t="inlineStr">
        <is>
          <t>Làm quen tiếng Anh lớp 1; từ vựng Global Success 1 (Unit 1–8).</t>
        </is>
      </c>
      <c r="AD109" s="3" t="inlineStr">
        <is>
          <t>EduChain Kids soạn thêm (2026-10); bám chương trình GDPT 2018 và trình tự SGK đã chọn</t>
        </is>
      </c>
      <c r="AE109" s="3" t="inlineStr">
        <is>
          <t>Bản soạn mới — cần rà soát</t>
        </is>
      </c>
      <c r="AF109" s="3" t="inlineStr">
        <is>
          <t>Chờ giáo viên duyệt</t>
        </is>
      </c>
      <c r="AG109" s="3" t="n"/>
    </row>
    <row r="110">
      <c r="A110" s="3" t="inlineStr">
        <is>
          <t>EC1-111</t>
        </is>
      </c>
      <c r="B110" s="3" t="inlineStr">
        <is>
          <t>Tiếng Anh</t>
        </is>
      </c>
      <c r="C110" s="22" t="n">
        <v>1</v>
      </c>
      <c r="D110" s="3" t="inlineStr">
        <is>
          <t>Sau Unit 4</t>
        </is>
      </c>
      <c r="E110" s="3" t="inlineStr">
        <is>
          <t>I can see …</t>
        </is>
      </c>
      <c r="F110" s="23" t="n">
        <v>4</v>
      </c>
      <c r="G110" s="3" t="inlineStr">
        <is>
          <t>Thử thách</t>
        </is>
      </c>
      <c r="H110" s="22" t="n"/>
      <c r="I110" s="3" t="n"/>
      <c r="J110" s="3" t="inlineStr">
        <is>
          <t>Sắp xếp</t>
        </is>
      </c>
      <c r="K110" s="3" t="inlineStr">
        <is>
          <t>Xếp các từ thành câu: "a / I / duck / see / can"
(Các mục: I / a / can / duck / see)</t>
        </is>
      </c>
      <c r="L110" s="3" t="n"/>
      <c r="M110" s="3" t="n"/>
      <c r="N110" s="3" t="n"/>
      <c r="O110" s="3" t="n"/>
      <c r="P110" s="3" t="n"/>
      <c r="Q110" s="3" t="inlineStr">
        <is>
          <t>I → can → see → a → duck</t>
        </is>
      </c>
      <c r="R110" s="3" t="inlineStr">
        <is>
          <t>I can see a duck.</t>
        </is>
      </c>
      <c r="S110" s="3" t="inlineStr">
        <is>
          <t>Mẫu câu "I can see a …" (Mình nhìn thấy một …). Câu đúng: I can see a duck.</t>
        </is>
      </c>
      <c r="T110" s="22" t="n">
        <v>75</v>
      </c>
      <c r="U110" s="22">
        <f>INDEX(Khung_cap_do!$H$2:$H$6,F110)</f>
        <v/>
      </c>
      <c r="V110" s="22" t="n">
        <v>3</v>
      </c>
      <c r="W110" s="22" t="n">
        <v>7</v>
      </c>
      <c r="X110" s="3" t="inlineStr">
        <is>
          <t>A1.ANIMAL.01</t>
        </is>
      </c>
      <c r="Y110" s="3" t="inlineStr">
        <is>
          <t>TA.MAUCAU</t>
        </is>
      </c>
      <c r="Z110" s="3" t="inlineStr">
        <is>
          <t>Soạn thêm</t>
        </is>
      </c>
      <c r="AA110" s="3" t="inlineStr"/>
      <c r="AB110" s="3" t="inlineStr">
        <is>
          <t>Đã học duck và mẫu câu I can see … .</t>
        </is>
      </c>
      <c r="AC110" s="3" t="inlineStr">
        <is>
          <t>Làm quen tiếng Anh lớp 1; từ vựng Global Success 1 (Unit 1–8).</t>
        </is>
      </c>
      <c r="AD110" s="3" t="inlineStr">
        <is>
          <t>EduChain Kids soạn thêm (2026-10); bám chương trình GDPT 2018 và trình tự SGK đã chọn</t>
        </is>
      </c>
      <c r="AE110" s="3" t="inlineStr">
        <is>
          <t>Bản soạn mới — cần rà soát</t>
        </is>
      </c>
      <c r="AF110" s="3" t="inlineStr">
        <is>
          <t>Chờ giáo viên duyệt</t>
        </is>
      </c>
      <c r="AG110" s="3" t="n"/>
    </row>
    <row r="111">
      <c r="A111" s="3" t="inlineStr">
        <is>
          <t>EC1-112</t>
        </is>
      </c>
      <c r="B111" s="3" t="inlineStr">
        <is>
          <t>Tiếng Anh</t>
        </is>
      </c>
      <c r="C111" s="22" t="n">
        <v>1</v>
      </c>
      <c r="D111" s="3" t="inlineStr">
        <is>
          <t>Sau Unit 8</t>
        </is>
      </c>
      <c r="E111" s="3" t="inlineStr">
        <is>
          <t>I can see …</t>
        </is>
      </c>
      <c r="F111" s="23" t="n">
        <v>4</v>
      </c>
      <c r="G111" s="3" t="inlineStr">
        <is>
          <t>Thử thách</t>
        </is>
      </c>
      <c r="H111" s="22" t="n"/>
      <c r="I111" s="3" t="n"/>
      <c r="J111" s="3" t="inlineStr">
        <is>
          <t>Đúng / Sai</t>
        </is>
      </c>
      <c r="K111" s="3" t="inlineStr">
        <is>
          <t>"I can see a horse." nghĩa là "Mình nhìn thấy một con ngựa."</t>
        </is>
      </c>
      <c r="L111" s="3" t="inlineStr">
        <is>
          <t>Đúng</t>
        </is>
      </c>
      <c r="M111" s="3" t="inlineStr">
        <is>
          <t>Sai</t>
        </is>
      </c>
      <c r="N111" s="3" t="n"/>
      <c r="O111" s="3" t="n"/>
      <c r="P111" s="3" t="n"/>
      <c r="Q111" s="3" t="inlineStr">
        <is>
          <t>A</t>
        </is>
      </c>
      <c r="R111" s="3" t="inlineStr">
        <is>
          <t>horse – con ngựa; I can see – mình nhìn thấy.</t>
        </is>
      </c>
      <c r="S111" s="3" t="inlineStr">
        <is>
          <t>I can see = mình nhìn thấy; a horse = một con ngựa. Câu dịch đúng.</t>
        </is>
      </c>
      <c r="T111" s="22" t="n">
        <v>60</v>
      </c>
      <c r="U111" s="22">
        <f>INDEX(Khung_cap_do!$H$2:$H$6,F111)</f>
        <v/>
      </c>
      <c r="V111" s="22" t="n">
        <v>3</v>
      </c>
      <c r="W111" s="22" t="n">
        <v>8</v>
      </c>
      <c r="X111" s="3" t="inlineStr">
        <is>
          <t>A1.ANIMAL.01</t>
        </is>
      </c>
      <c r="Y111" s="3" t="inlineStr">
        <is>
          <t>TA.TUVUNG</t>
        </is>
      </c>
      <c r="Z111" s="3" t="inlineStr">
        <is>
          <t>Soạn thêm</t>
        </is>
      </c>
      <c r="AA111" s="3" t="inlineStr"/>
      <c r="AB111" s="3" t="inlineStr">
        <is>
          <t>Đã học horse (Unit 8).</t>
        </is>
      </c>
      <c r="AC111" s="3" t="inlineStr">
        <is>
          <t>Làm quen tiếng Anh lớp 1; từ vựng Global Success 1 (Unit 1–8).</t>
        </is>
      </c>
      <c r="AD111" s="3" t="inlineStr">
        <is>
          <t>EduChain Kids soạn thêm (2026-10); bám chương trình GDPT 2018 và trình tự SGK đã chọn</t>
        </is>
      </c>
      <c r="AE111" s="3" t="inlineStr">
        <is>
          <t>Bản soạn mới — cần rà soát</t>
        </is>
      </c>
      <c r="AF111" s="3" t="inlineStr">
        <is>
          <t>Chờ giáo viên duyệt</t>
        </is>
      </c>
      <c r="AG111" s="3" t="n"/>
    </row>
    <row r="112">
      <c r="A112" s="3" t="inlineStr">
        <is>
          <t>EC1-113</t>
        </is>
      </c>
      <c r="B112" s="3" t="inlineStr">
        <is>
          <t>Tiếng Anh</t>
        </is>
      </c>
      <c r="C112" s="22" t="n">
        <v>1</v>
      </c>
      <c r="D112" s="3" t="inlineStr">
        <is>
          <t>Sau Unit 7</t>
        </is>
      </c>
      <c r="E112" s="3" t="inlineStr">
        <is>
          <t>Letter g</t>
        </is>
      </c>
      <c r="F112" s="23" t="n">
        <v>4</v>
      </c>
      <c r="G112" s="3" t="inlineStr">
        <is>
          <t>Thử thách</t>
        </is>
      </c>
      <c r="H112" s="22" t="n"/>
      <c r="I112" s="3" t="n"/>
      <c r="J112" s="3" t="inlineStr">
        <is>
          <t>Chọn nhiều đáp án</t>
        </is>
      </c>
      <c r="K112" s="3" t="inlineStr">
        <is>
          <t>Chọn TẤT CẢ từ bắt đầu bằng chữ "g".</t>
        </is>
      </c>
      <c r="L112" s="3" t="inlineStr">
        <is>
          <t>girl</t>
        </is>
      </c>
      <c r="M112" s="3" t="inlineStr">
        <is>
          <t>gate</t>
        </is>
      </c>
      <c r="N112" s="3" t="inlineStr">
        <is>
          <t>goat</t>
        </is>
      </c>
      <c r="O112" s="3" t="inlineStr">
        <is>
          <t>duck</t>
        </is>
      </c>
      <c r="P112" s="3" t="n"/>
      <c r="Q112" s="3" t="inlineStr">
        <is>
          <t>A, B, C</t>
        </is>
      </c>
      <c r="R112" s="3" t="inlineStr">
        <is>
          <t>girl, gate, goat bắt đầu bằng g.</t>
        </is>
      </c>
      <c r="S112" s="3" t="inlineStr">
        <is>
          <t>Nhìn chữ cái đầu: girl, gate, goat bắt đầu bằng g; duck bắt đầu bằng d.</t>
        </is>
      </c>
      <c r="T112" s="22" t="n">
        <v>70</v>
      </c>
      <c r="U112" s="22">
        <f>INDEX(Khung_cap_do!$H$2:$H$6,F112)</f>
        <v/>
      </c>
      <c r="V112" s="22" t="n">
        <v>4</v>
      </c>
      <c r="W112" s="22" t="n">
        <v>7</v>
      </c>
      <c r="X112" s="3" t="inlineStr">
        <is>
          <t>A1.ABC.02</t>
        </is>
      </c>
      <c r="Y112" s="3" t="inlineStr">
        <is>
          <t>TA.NHOMTU</t>
        </is>
      </c>
      <c r="Z112" s="3" t="inlineStr">
        <is>
          <t>Soạn thêm</t>
        </is>
      </c>
      <c r="AA112" s="3" t="inlineStr"/>
      <c r="AB112" s="3" t="inlineStr">
        <is>
          <t>Đã học chữ g và các từ của Unit 7.</t>
        </is>
      </c>
      <c r="AC112" s="3" t="inlineStr">
        <is>
          <t>Làm quen tiếng Anh lớp 1; từ vựng Global Success 1 (Unit 1–8).</t>
        </is>
      </c>
      <c r="AD112" s="3" t="inlineStr">
        <is>
          <t>EduChain Kids soạn thêm (2026-10); bám chương trình GDPT 2018 và trình tự SGK đã chọn</t>
        </is>
      </c>
      <c r="AE112" s="3" t="inlineStr">
        <is>
          <t>Bản soạn mới — cần rà soát</t>
        </is>
      </c>
      <c r="AF112" s="3" t="inlineStr">
        <is>
          <t>Chờ giáo viên duyệt</t>
        </is>
      </c>
      <c r="AG112" s="3" t="n"/>
    </row>
    <row r="113">
      <c r="A113" s="3" t="inlineStr">
        <is>
          <t>EC1-114</t>
        </is>
      </c>
      <c r="B113" s="3" t="inlineStr">
        <is>
          <t>Tiếng Anh</t>
        </is>
      </c>
      <c r="C113" s="22" t="n">
        <v>1</v>
      </c>
      <c r="D113" s="3" t="inlineStr">
        <is>
          <t>Sau Unit 4</t>
        </is>
      </c>
      <c r="E113" s="3" t="inlineStr">
        <is>
          <t>Spelling</t>
        </is>
      </c>
      <c r="F113" s="23" t="n">
        <v>4</v>
      </c>
      <c r="G113" s="3" t="inlineStr">
        <is>
          <t>Thử thách</t>
        </is>
      </c>
      <c r="H113" s="22" t="n"/>
      <c r="I113" s="3" t="n"/>
      <c r="J113" s="3" t="inlineStr">
        <is>
          <t>Điền đáp án</t>
        </is>
      </c>
      <c r="K113" s="3" t="inlineStr">
        <is>
          <t>Điền 2 chữ cái còn thiếu: d _ _ k (con vịt)</t>
        </is>
      </c>
      <c r="L113" s="3" t="n"/>
      <c r="M113" s="3" t="n"/>
      <c r="N113" s="3" t="n"/>
      <c r="O113" s="3" t="n"/>
      <c r="P113" s="3" t="n"/>
      <c r="Q113" s="3" t="inlineStr">
        <is>
          <t>uc / u c</t>
        </is>
      </c>
      <c r="R113" s="3" t="inlineStr">
        <is>
          <t>duck: d – u – c – k.</t>
        </is>
      </c>
      <c r="S113" s="3" t="inlineStr">
        <is>
          <t>Con vịt là duck, đánh vần d – u – c – k. Hai chữ còn thiếu là u, c.</t>
        </is>
      </c>
      <c r="T113" s="22" t="n">
        <v>70</v>
      </c>
      <c r="U113" s="22">
        <f>INDEX(Khung_cap_do!$H$2:$H$6,F113)</f>
        <v/>
      </c>
      <c r="V113" s="22" t="n">
        <v>4</v>
      </c>
      <c r="W113" s="22" t="n">
        <v>8</v>
      </c>
      <c r="X113" s="3" t="inlineStr">
        <is>
          <t>A1.ABC.02</t>
        </is>
      </c>
      <c r="Y113" s="3" t="inlineStr">
        <is>
          <t>TA.CHUCAI</t>
        </is>
      </c>
      <c r="Z113" s="3" t="inlineStr">
        <is>
          <t>Soạn thêm</t>
        </is>
      </c>
      <c r="AA113" s="3" t="inlineStr"/>
      <c r="AB113" s="3" t="inlineStr">
        <is>
          <t>Đã học duck (Unit 4).</t>
        </is>
      </c>
      <c r="AC113" s="3" t="inlineStr">
        <is>
          <t>Làm quen tiếng Anh lớp 1; từ vựng Global Success 1 (Unit 1–8).</t>
        </is>
      </c>
      <c r="AD113" s="3" t="inlineStr">
        <is>
          <t>EduChain Kids soạn thêm (2026-10); bám chương trình GDPT 2018 và trình tự SGK đã chọn</t>
        </is>
      </c>
      <c r="AE113" s="3" t="inlineStr">
        <is>
          <t>Bản soạn mới — cần rà soát</t>
        </is>
      </c>
      <c r="AF113" s="3" t="inlineStr">
        <is>
          <t>Chờ giáo viên duyệt</t>
        </is>
      </c>
      <c r="AG113" s="3" t="n"/>
    </row>
    <row r="114">
      <c r="A114" s="3" t="inlineStr">
        <is>
          <t>EC1-043</t>
        </is>
      </c>
      <c r="B114" s="3" t="inlineStr">
        <is>
          <t>Tiếng Anh</t>
        </is>
      </c>
      <c r="C114" s="22" t="n">
        <v>1</v>
      </c>
      <c r="D114" s="3" t="inlineStr">
        <is>
          <t>Theo chương trình trường lựa chọn</t>
        </is>
      </c>
      <c r="E114" s="3" t="inlineStr">
        <is>
          <t>Personal response</t>
        </is>
      </c>
      <c r="F114" s="23" t="n">
        <v>5</v>
      </c>
      <c r="G114" s="3" t="inlineStr">
        <is>
          <t>Mở rộng</t>
        </is>
      </c>
      <c r="H114" s="22" t="n"/>
      <c r="I114" s="3" t="n"/>
      <c r="J114" s="3" t="inlineStr">
        <is>
          <t>Nói / ghi âm</t>
        </is>
      </c>
      <c r="K114" s="3" t="inlineStr">
        <is>
          <t>Nếu đã học “I like ___”, nói một từ chỉ con vật em thích để hoàn thành câu.</t>
        </is>
      </c>
      <c r="L114" s="3" t="n"/>
      <c r="M114" s="3" t="n"/>
      <c r="N114" s="3" t="n"/>
      <c r="O114" s="3" t="n"/>
      <c r="P114" s="3" t="n"/>
      <c r="Q114" s="3" t="inlineStr">
        <is>
          <t>Ví dụ: I like cats.</t>
        </is>
      </c>
      <c r="R114" s="3" t="inlineStr">
        <is>
          <t>Chấp nhận nhiều câu đúng theo từ vựng đã học; dùng rubric.</t>
        </is>
      </c>
      <c r="S114" s="3" t="inlineStr">
        <is>
          <t>dogs là con chó; cakes là bánh, doors là cửa. Từ chỉ con vật là dogs.</t>
        </is>
      </c>
      <c r="T114" s="22" t="n">
        <v>75</v>
      </c>
      <c r="U114" s="22">
        <f>INDEX(Khung_cap_do!$H$2:$H$6,F114)</f>
        <v/>
      </c>
      <c r="V114" s="22" t="n">
        <v>1</v>
      </c>
      <c r="W114" s="22" t="n">
        <v>9</v>
      </c>
      <c r="X114" s="3" t="inlineStr">
        <is>
          <t>A1.ANIMAL.01</t>
        </is>
      </c>
      <c r="Y114" s="3" t="inlineStr">
        <is>
          <t>TA.MAUCAU</t>
        </is>
      </c>
      <c r="Z114" s="3" t="inlineStr">
        <is>
          <t>Bộ mẫu</t>
        </is>
      </c>
      <c r="AA114" s="3" t="inlineStr">
        <is>
          <t>[Chọn đáp án] Hoàn thành câu "I like ___." bằng một từ chỉ con vật.
A. dogs | B. cakes | C. doors
Đáp án: A
Ghi chú: Bản gốc là nói/ghi âm (giáo viên chấm rubric); bản app là chọn từ chỉ con vật.</t>
        </is>
      </c>
      <c r="AB114" s="3" t="inlineStr">
        <is>
          <t>Mẫu I like và từ chỉ con vật đã được dạy.</t>
        </is>
      </c>
      <c r="AC114" s="3" t="inlineStr">
        <is>
          <t>Mở rộng nội bộ; cần rubric và chính sách dữ liệu âm thanh trẻ em.</t>
        </is>
      </c>
      <c r="AD114" s="3" t="inlineStr">
        <is>
          <t>Chương trình GDPT 2018 / kế hoạch dạy học của trường; đối chiếu văn bản hiện hành</t>
        </is>
      </c>
      <c r="AE114" s="3" t="inlineStr">
        <is>
          <t>Bản mẫu — cần rà soát</t>
        </is>
      </c>
      <c r="AF114" s="3" t="inlineStr">
        <is>
          <t>Chờ giáo viên duyệt</t>
        </is>
      </c>
      <c r="AG114" s="3" t="n"/>
    </row>
    <row r="115">
      <c r="A115" s="3" t="inlineStr">
        <is>
          <t>EC1-045</t>
        </is>
      </c>
      <c r="B115" s="3" t="inlineStr">
        <is>
          <t>Tiếng Anh</t>
        </is>
      </c>
      <c r="C115" s="22" t="n">
        <v>1</v>
      </c>
      <c r="D115" s="3" t="inlineStr">
        <is>
          <t>Theo chương trình trường lựa chọn</t>
        </is>
      </c>
      <c r="E115" s="3" t="inlineStr">
        <is>
          <t>Vocabulary in context</t>
        </is>
      </c>
      <c r="F115" s="23" t="n">
        <v>5</v>
      </c>
      <c r="G115" s="3" t="inlineStr">
        <is>
          <t>Mở rộng</t>
        </is>
      </c>
      <c r="H115" s="22" t="n"/>
      <c r="I115" s="3" t="n"/>
      <c r="J115" s="3" t="inlineStr">
        <is>
          <t>Nói / chọn tranh</t>
        </is>
      </c>
      <c r="K115" s="3" t="inlineStr">
        <is>
          <t>Chọn một đồ vật trong tranh và nói từ tiếng Anh tương ứng trong nhóm đã học.</t>
        </is>
      </c>
      <c r="L115" s="3" t="n"/>
      <c r="M115" s="3" t="n"/>
      <c r="N115" s="3" t="n"/>
      <c r="O115" s="3" t="n"/>
      <c r="P115" s="3" t="n"/>
      <c r="Q115" s="3" t="inlineStr">
        <is>
          <t>Ví dụ: book / pen / bag (nếu đã học).</t>
        </is>
      </c>
      <c r="R115" s="3" t="inlineStr">
        <is>
          <t>Nhiều đáp án đúng; đối chiếu vật thể và bộ từ cho phép.</t>
        </is>
      </c>
      <c r="S115" s="3" t="inlineStr">
        <is>
          <t>📕 là book (quyển sách), 🖊️ là pen (bút mực), 🎒 là bag (cái cặp, túi).</t>
        </is>
      </c>
      <c r="T115" s="22" t="n">
        <v>90</v>
      </c>
      <c r="U115" s="22">
        <f>INDEX(Khung_cap_do!$H$2:$H$6,F115)</f>
        <v/>
      </c>
      <c r="V115" s="22" t="n">
        <v>1</v>
      </c>
      <c r="W115" s="22" t="n">
        <v>10</v>
      </c>
      <c r="X115" s="3" t="inlineStr">
        <is>
          <t>A1.SCHOOL.01</t>
        </is>
      </c>
      <c r="Y115" s="3" t="inlineStr">
        <is>
          <t>TA.NOINGHIA</t>
        </is>
      </c>
      <c r="Z115" s="3" t="inlineStr">
        <is>
          <t>Bộ mẫu</t>
        </is>
      </c>
      <c r="AA115" s="3" t="inlineStr">
        <is>
          <t>[Ghép cặp] Nối đồ vật với từ tiếng Anh.
Đáp án: 📕 – book; 🖊️ – pen; 🎒 – bag
Ghi chú: Bản gốc là nói tên đồ vật trong tranh; bản app là nối tranh với từ.</t>
        </is>
      </c>
      <c r="AB115" s="3" t="inlineStr">
        <is>
          <t>Đã học từ chỉ đồ vật xuất hiện.</t>
        </is>
      </c>
      <c r="AC115" s="3" t="inlineStr">
        <is>
          <t>Mở rộng nội bộ; cần danh sách đáp án hợp lệ.</t>
        </is>
      </c>
      <c r="AD115" s="3" t="inlineStr">
        <is>
          <t>Chương trình GDPT 2018 / kế hoạch dạy học của trường; đối chiếu văn bản hiện hành</t>
        </is>
      </c>
      <c r="AE115" s="3" t="inlineStr">
        <is>
          <t>Bản mẫu — cần rà soát</t>
        </is>
      </c>
      <c r="AF115" s="3" t="inlineStr">
        <is>
          <t>Chờ giáo viên duyệt</t>
        </is>
      </c>
      <c r="AG115" s="3" t="n"/>
    </row>
    <row r="116">
      <c r="A116" s="3" t="inlineStr">
        <is>
          <t>EC1-115</t>
        </is>
      </c>
      <c r="B116" s="3" t="inlineStr">
        <is>
          <t>Tiếng Anh</t>
        </is>
      </c>
      <c r="C116" s="22" t="n">
        <v>1</v>
      </c>
      <c r="D116" s="3" t="inlineStr">
        <is>
          <t>Sau Unit 4</t>
        </is>
      </c>
      <c r="E116" s="3" t="inlineStr">
        <is>
          <t>Odd one out</t>
        </is>
      </c>
      <c r="F116" s="23" t="n">
        <v>5</v>
      </c>
      <c r="G116" s="3" t="inlineStr">
        <is>
          <t>Mở rộng</t>
        </is>
      </c>
      <c r="H116" s="22" t="n"/>
      <c r="I116" s="3" t="n"/>
      <c r="J116" s="3" t="inlineStr">
        <is>
          <t>Chọn đáp án</t>
        </is>
      </c>
      <c r="K116" s="3" t="inlineStr">
        <is>
          <t>Chọn từ KHÁC nhóm.</t>
        </is>
      </c>
      <c r="L116" s="3" t="inlineStr">
        <is>
          <t>cat</t>
        </is>
      </c>
      <c r="M116" s="3" t="inlineStr">
        <is>
          <t>dog</t>
        </is>
      </c>
      <c r="N116" s="3" t="inlineStr">
        <is>
          <t>duck</t>
        </is>
      </c>
      <c r="O116" s="3" t="inlineStr">
        <is>
          <t>desk</t>
        </is>
      </c>
      <c r="P116" s="3" t="n"/>
      <c r="Q116" s="3" t="inlineStr">
        <is>
          <t>D</t>
        </is>
      </c>
      <c r="R116" s="3" t="inlineStr">
        <is>
          <t>desk là đồ vật; các từ còn lại là con vật.</t>
        </is>
      </c>
      <c r="S116" s="3" t="inlineStr">
        <is>
          <t>cat – mèo, dog – chó, duck – vịt đều là con vật. desk – cái bàn là đồ vật.</t>
        </is>
      </c>
      <c r="T116" s="22" t="n">
        <v>75</v>
      </c>
      <c r="U116" s="22">
        <f>INDEX(Khung_cap_do!$H$2:$H$6,F116)</f>
        <v/>
      </c>
      <c r="V116" s="22" t="n">
        <v>2</v>
      </c>
      <c r="W116" s="22" t="n">
        <v>9</v>
      </c>
      <c r="X116" s="3" t="inlineStr">
        <is>
          <t>A1.ANIMAL.01</t>
        </is>
      </c>
      <c r="Y116" s="3" t="inlineStr">
        <is>
          <t>TA.NHOMTU</t>
        </is>
      </c>
      <c r="Z116" s="3" t="inlineStr">
        <is>
          <t>Soạn thêm</t>
        </is>
      </c>
      <c r="AA116" s="3" t="inlineStr"/>
      <c r="AB116" s="3" t="inlineStr">
        <is>
          <t>Đã học cat (Unit 2), dog, duck, desk (Unit 4).</t>
        </is>
      </c>
      <c r="AC116" s="3" t="inlineStr">
        <is>
          <t>Làm quen tiếng Anh lớp 1; từ vựng Global Success 1 (Unit 1–8).</t>
        </is>
      </c>
      <c r="AD116" s="3" t="inlineStr">
        <is>
          <t>EduChain Kids soạn thêm (2026-10); bám chương trình GDPT 2018 và trình tự SGK đã chọn</t>
        </is>
      </c>
      <c r="AE116" s="3" t="inlineStr">
        <is>
          <t>Bản soạn mới — cần rà soát</t>
        </is>
      </c>
      <c r="AF116" s="3" t="inlineStr">
        <is>
          <t>Chờ giáo viên duyệt</t>
        </is>
      </c>
      <c r="AG116" s="3" t="n"/>
    </row>
    <row r="117">
      <c r="A117" s="3" t="inlineStr">
        <is>
          <t>EC1-116</t>
        </is>
      </c>
      <c r="B117" s="3" t="inlineStr">
        <is>
          <t>Tiếng Anh</t>
        </is>
      </c>
      <c r="C117" s="22" t="n">
        <v>1</v>
      </c>
      <c r="D117" s="3" t="inlineStr">
        <is>
          <t>Sau Unit 5</t>
        </is>
      </c>
      <c r="E117" s="3" t="inlineStr">
        <is>
          <t>Spelling</t>
        </is>
      </c>
      <c r="F117" s="23" t="n">
        <v>5</v>
      </c>
      <c r="G117" s="3" t="inlineStr">
        <is>
          <t>Mở rộng</t>
        </is>
      </c>
      <c r="H117" s="22" t="n"/>
      <c r="I117" s="3" t="n"/>
      <c r="J117" s="3" t="inlineStr">
        <is>
          <t>Sắp xếp</t>
        </is>
      </c>
      <c r="K117" s="3" t="inlineStr">
        <is>
          <t>Xếp các chữ cái thành từ "con cá": i / f / h / s
(Các mục: f / h / i / s)</t>
        </is>
      </c>
      <c r="L117" s="3" t="n"/>
      <c r="M117" s="3" t="n"/>
      <c r="N117" s="3" t="n"/>
      <c r="O117" s="3" t="n"/>
      <c r="P117" s="3" t="n"/>
      <c r="Q117" s="3" t="inlineStr">
        <is>
          <t>f → i → s → h</t>
        </is>
      </c>
      <c r="R117" s="3" t="inlineStr">
        <is>
          <t>fish: f – i – s – h.</t>
        </is>
      </c>
      <c r="S117" s="3" t="inlineStr">
        <is>
          <t>Con cá là fish, đánh vần f – i – s – h.</t>
        </is>
      </c>
      <c r="T117" s="22" t="n">
        <v>90</v>
      </c>
      <c r="U117" s="22">
        <f>INDEX(Khung_cap_do!$H$2:$H$6,F117)</f>
        <v/>
      </c>
      <c r="V117" s="22" t="n">
        <v>2</v>
      </c>
      <c r="W117" s="22" t="n">
        <v>10</v>
      </c>
      <c r="X117" s="3" t="inlineStr">
        <is>
          <t>A1.ABC.02</t>
        </is>
      </c>
      <c r="Y117" s="3" t="inlineStr">
        <is>
          <t>TA.CHUCAI</t>
        </is>
      </c>
      <c r="Z117" s="3" t="inlineStr">
        <is>
          <t>Soạn thêm</t>
        </is>
      </c>
      <c r="AA117" s="3" t="inlineStr"/>
      <c r="AB117" s="3" t="inlineStr">
        <is>
          <t>Đã học fish (Unit 5).</t>
        </is>
      </c>
      <c r="AC117" s="3" t="inlineStr">
        <is>
          <t>Làm quen tiếng Anh lớp 1; từ vựng Global Success 1 (Unit 1–8).</t>
        </is>
      </c>
      <c r="AD117" s="3" t="inlineStr">
        <is>
          <t>EduChain Kids soạn thêm (2026-10); bám chương trình GDPT 2018 và trình tự SGK đã chọn</t>
        </is>
      </c>
      <c r="AE117" s="3" t="inlineStr">
        <is>
          <t>Bản soạn mới — cần rà soát</t>
        </is>
      </c>
      <c r="AF117" s="3" t="inlineStr">
        <is>
          <t>Chờ giáo viên duyệt</t>
        </is>
      </c>
      <c r="AG117" s="3" t="n"/>
    </row>
    <row r="118">
      <c r="A118" s="3" t="inlineStr">
        <is>
          <t>EC1-117</t>
        </is>
      </c>
      <c r="B118" s="3" t="inlineStr">
        <is>
          <t>Tiếng Anh</t>
        </is>
      </c>
      <c r="C118" s="22" t="n">
        <v>1</v>
      </c>
      <c r="D118" s="3" t="inlineStr">
        <is>
          <t>Sau Unit 8</t>
        </is>
      </c>
      <c r="E118" s="3" t="inlineStr">
        <is>
          <t>Letters</t>
        </is>
      </c>
      <c r="F118" s="23" t="n">
        <v>5</v>
      </c>
      <c r="G118" s="3" t="inlineStr">
        <is>
          <t>Mở rộng</t>
        </is>
      </c>
      <c r="H118" s="22" t="n"/>
      <c r="I118" s="3" t="n"/>
      <c r="J118" s="3" t="inlineStr">
        <is>
          <t>Ghép cặp</t>
        </is>
      </c>
      <c r="K118" s="3" t="inlineStr">
        <is>
          <t>Nối chữ cái với từ bắt đầu bằng chữ đó.
(Vế trái: b / c / h · Vế phải: book / cup / horse)</t>
        </is>
      </c>
      <c r="L118" s="3" t="n"/>
      <c r="M118" s="3" t="n"/>
      <c r="N118" s="3" t="n"/>
      <c r="O118" s="3" t="n"/>
      <c r="P118" s="3" t="n"/>
      <c r="Q118" s="3" t="inlineStr">
        <is>
          <t>b – book; c – cup; h – horse</t>
        </is>
      </c>
      <c r="R118" s="3" t="inlineStr">
        <is>
          <t>b – book, c – cup, h – horse.</t>
        </is>
      </c>
      <c r="S118" s="3" t="inlineStr">
        <is>
          <t>book bắt đầu bằng b, cup bắt đầu bằng c, horse bắt đầu bằng h.</t>
        </is>
      </c>
      <c r="T118" s="22" t="n">
        <v>90</v>
      </c>
      <c r="U118" s="22">
        <f>INDEX(Khung_cap_do!$H$2:$H$6,F118)</f>
        <v/>
      </c>
      <c r="V118" s="22" t="n">
        <v>3</v>
      </c>
      <c r="W118" s="22" t="n">
        <v>9</v>
      </c>
      <c r="X118" s="3" t="inlineStr">
        <is>
          <t>A1.ABC.02</t>
        </is>
      </c>
      <c r="Y118" s="3" t="inlineStr">
        <is>
          <t>TA.NOINGHIA</t>
        </is>
      </c>
      <c r="Z118" s="3" t="inlineStr">
        <is>
          <t>Soạn thêm</t>
        </is>
      </c>
      <c r="AA118" s="3" t="inlineStr"/>
      <c r="AB118" s="3" t="inlineStr">
        <is>
          <t>Đã học chữ b, c, h và các từ.</t>
        </is>
      </c>
      <c r="AC118" s="3" t="inlineStr">
        <is>
          <t>Làm quen tiếng Anh lớp 1; từ vựng Global Success 1 (Unit 1–8).</t>
        </is>
      </c>
      <c r="AD118" s="3" t="inlineStr">
        <is>
          <t>EduChain Kids soạn thêm (2026-10); bám chương trình GDPT 2018 và trình tự SGK đã chọn</t>
        </is>
      </c>
      <c r="AE118" s="3" t="inlineStr">
        <is>
          <t>Bản soạn mới — cần rà soát</t>
        </is>
      </c>
      <c r="AF118" s="3" t="inlineStr">
        <is>
          <t>Chờ giáo viên duyệt</t>
        </is>
      </c>
      <c r="AG118" s="3" t="n"/>
    </row>
    <row r="119">
      <c r="A119" s="3" t="inlineStr">
        <is>
          <t>EC1-118</t>
        </is>
      </c>
      <c r="B119" s="3" t="inlineStr">
        <is>
          <t>Tiếng Anh</t>
        </is>
      </c>
      <c r="C119" s="22" t="n">
        <v>1</v>
      </c>
      <c r="D119" s="3" t="inlineStr">
        <is>
          <t>Sau Unit 1</t>
        </is>
      </c>
      <c r="E119" s="3" t="inlineStr">
        <is>
          <t>This is my …</t>
        </is>
      </c>
      <c r="F119" s="23" t="n">
        <v>5</v>
      </c>
      <c r="G119" s="3" t="inlineStr">
        <is>
          <t>Mở rộng</t>
        </is>
      </c>
      <c r="H119" s="22" t="n"/>
      <c r="I119" s="3" t="n"/>
      <c r="J119" s="3" t="inlineStr">
        <is>
          <t>Chọn đáp án</t>
        </is>
      </c>
      <c r="K119" s="3" t="inlineStr">
        <is>
          <t>Bill nói: "This is my bike." Bill đang giới thiệu gì?</t>
        </is>
      </c>
      <c r="L119" s="3" t="inlineStr">
        <is>
          <t>Xe đạp của Bill</t>
        </is>
      </c>
      <c r="M119" s="3" t="inlineStr">
        <is>
          <t>Quả bóng của Bill</t>
        </is>
      </c>
      <c r="N119" s="3" t="inlineStr">
        <is>
          <t>Con mèo của Bill</t>
        </is>
      </c>
      <c r="O119" s="3" t="n"/>
      <c r="P119" s="3" t="n"/>
      <c r="Q119" s="3" t="inlineStr">
        <is>
          <t>A</t>
        </is>
      </c>
      <c r="R119" s="3" t="inlineStr">
        <is>
          <t>bike – xe đạp; This is my … – Đây là … của mình.</t>
        </is>
      </c>
      <c r="S119" s="3" t="inlineStr">
        <is>
          <t>"This is my bike." nghĩa là "Đây là xe đạp của mình."</t>
        </is>
      </c>
      <c r="T119" s="22" t="n">
        <v>75</v>
      </c>
      <c r="U119" s="22">
        <f>INDEX(Khung_cap_do!$H$2:$H$6,F119)</f>
        <v/>
      </c>
      <c r="V119" s="22" t="n">
        <v>3</v>
      </c>
      <c r="W119" s="22" t="n">
        <v>10</v>
      </c>
      <c r="X119" s="3" t="inlineStr">
        <is>
          <t>A1.EXTRA.01</t>
        </is>
      </c>
      <c r="Y119" s="3" t="inlineStr">
        <is>
          <t>TA.MAUCAU</t>
        </is>
      </c>
      <c r="Z119" s="3" t="inlineStr">
        <is>
          <t>Soạn thêm</t>
        </is>
      </c>
      <c r="AA119" s="3" t="inlineStr"/>
      <c r="AB119" s="3" t="inlineStr">
        <is>
          <t>Đã học bike và mẫu câu This is my … .</t>
        </is>
      </c>
      <c r="AC119" s="3" t="inlineStr">
        <is>
          <t>Làm quen tiếng Anh lớp 1; từ vựng Global Success 1 (Unit 1–8).</t>
        </is>
      </c>
      <c r="AD119" s="3" t="inlineStr">
        <is>
          <t>EduChain Kids soạn thêm (2026-10); bám chương trình GDPT 2018 và trình tự SGK đã chọn</t>
        </is>
      </c>
      <c r="AE119" s="3" t="inlineStr">
        <is>
          <t>Bản soạn mới — cần rà soát</t>
        </is>
      </c>
      <c r="AF119" s="3" t="inlineStr">
        <is>
          <t>Chờ giáo viên duyệt</t>
        </is>
      </c>
      <c r="AG119" s="3" t="n"/>
    </row>
    <row r="120">
      <c r="A120" s="3" t="inlineStr">
        <is>
          <t>EC1-119</t>
        </is>
      </c>
      <c r="B120" s="3" t="inlineStr">
        <is>
          <t>Tiếng Anh</t>
        </is>
      </c>
      <c r="C120" s="22" t="n">
        <v>1</v>
      </c>
      <c r="D120" s="3" t="inlineStr">
        <is>
          <t>Sau Unit 8</t>
        </is>
      </c>
      <c r="E120" s="3" t="inlineStr">
        <is>
          <t>I can see …</t>
        </is>
      </c>
      <c r="F120" s="23" t="n">
        <v>5</v>
      </c>
      <c r="G120" s="3" t="inlineStr">
        <is>
          <t>Mở rộng</t>
        </is>
      </c>
      <c r="H120" s="22" t="n"/>
      <c r="I120" s="3" t="n"/>
      <c r="J120" s="3" t="inlineStr">
        <is>
          <t>Điền đáp án</t>
        </is>
      </c>
      <c r="K120" s="3" t="inlineStr">
        <is>
          <t>Hoàn thành câu: "I can see a ___." (🐴)</t>
        </is>
      </c>
      <c r="L120" s="3" t="n"/>
      <c r="M120" s="3" t="n"/>
      <c r="N120" s="3" t="n"/>
      <c r="O120" s="3" t="n"/>
      <c r="P120" s="3" t="n"/>
      <c r="Q120" s="3" t="inlineStr">
        <is>
          <t>horse</t>
        </is>
      </c>
      <c r="R120" s="3" t="inlineStr">
        <is>
          <t>🐴 là horse.</t>
        </is>
      </c>
      <c r="S120" s="3" t="inlineStr">
        <is>
          <t>Con ngựa là horse: "I can see a horse."</t>
        </is>
      </c>
      <c r="T120" s="22" t="n">
        <v>85</v>
      </c>
      <c r="U120" s="22">
        <f>INDEX(Khung_cap_do!$H$2:$H$6,F120)</f>
        <v/>
      </c>
      <c r="V120" s="22" t="n">
        <v>4</v>
      </c>
      <c r="W120" s="22" t="n">
        <v>9</v>
      </c>
      <c r="X120" s="3" t="inlineStr">
        <is>
          <t>A1.ANIMAL.01</t>
        </is>
      </c>
      <c r="Y120" s="3" t="inlineStr">
        <is>
          <t>TA.MAUCAU</t>
        </is>
      </c>
      <c r="Z120" s="3" t="inlineStr">
        <is>
          <t>Soạn thêm</t>
        </is>
      </c>
      <c r="AA120" s="3" t="inlineStr"/>
      <c r="AB120" s="3" t="inlineStr">
        <is>
          <t>Đã học horse (Unit 8).</t>
        </is>
      </c>
      <c r="AC120" s="3" t="inlineStr">
        <is>
          <t>Làm quen tiếng Anh lớp 1; từ vựng Global Success 1 (Unit 1–8).</t>
        </is>
      </c>
      <c r="AD120" s="3" t="inlineStr">
        <is>
          <t>EduChain Kids soạn thêm (2026-10); bám chương trình GDPT 2018 và trình tự SGK đã chọn</t>
        </is>
      </c>
      <c r="AE120" s="3" t="inlineStr">
        <is>
          <t>Bản soạn mới — cần rà soát</t>
        </is>
      </c>
      <c r="AF120" s="3" t="inlineStr">
        <is>
          <t>Chờ giáo viên duyệt</t>
        </is>
      </c>
      <c r="AG120" s="3" t="n"/>
    </row>
    <row r="121">
      <c r="A121" s="3" t="inlineStr">
        <is>
          <t>EC1-120</t>
        </is>
      </c>
      <c r="B121" s="3" t="inlineStr">
        <is>
          <t>Tiếng Anh</t>
        </is>
      </c>
      <c r="C121" s="22" t="n">
        <v>1</v>
      </c>
      <c r="D121" s="3" t="inlineStr">
        <is>
          <t>Sau Unit 5</t>
        </is>
      </c>
      <c r="E121" s="3" t="inlineStr">
        <is>
          <t>Food and drinks</t>
        </is>
      </c>
      <c r="F121" s="23" t="n">
        <v>5</v>
      </c>
      <c r="G121" s="3" t="inlineStr">
        <is>
          <t>Mở rộng</t>
        </is>
      </c>
      <c r="H121" s="22" t="n"/>
      <c r="I121" s="3" t="n"/>
      <c r="J121" s="3" t="inlineStr">
        <is>
          <t>Chọn nhiều đáp án</t>
        </is>
      </c>
      <c r="K121" s="3" t="inlineStr">
        <is>
          <t>Chọn TẤT CẢ từ chỉ đồ ăn, đồ uống.</t>
        </is>
      </c>
      <c r="L121" s="3" t="inlineStr">
        <is>
          <t>cake</t>
        </is>
      </c>
      <c r="M121" s="3" t="inlineStr">
        <is>
          <t>chips</t>
        </is>
      </c>
      <c r="N121" s="3" t="inlineStr">
        <is>
          <t>milk</t>
        </is>
      </c>
      <c r="O121" s="3" t="inlineStr">
        <is>
          <t>door</t>
        </is>
      </c>
      <c r="P121" s="3" t="n"/>
      <c r="Q121" s="3" t="inlineStr">
        <is>
          <t>A, B, C</t>
        </is>
      </c>
      <c r="R121" s="3" t="inlineStr">
        <is>
          <t>cake, chips, milk ăn/uống được; door là cái cửa.</t>
        </is>
      </c>
      <c r="S121" s="3" t="inlineStr">
        <is>
          <t>cake – bánh ngọt, chips – khoai tây chiên, milk – sữa. Door là cái cửa.</t>
        </is>
      </c>
      <c r="T121" s="22" t="n">
        <v>85</v>
      </c>
      <c r="U121" s="22">
        <f>INDEX(Khung_cap_do!$H$2:$H$6,F121)</f>
        <v/>
      </c>
      <c r="V121" s="22" t="n">
        <v>4</v>
      </c>
      <c r="W121" s="22" t="n">
        <v>10</v>
      </c>
      <c r="X121" s="3" t="inlineStr">
        <is>
          <t>A1.EXTRA.02</t>
        </is>
      </c>
      <c r="Y121" s="3" t="inlineStr">
        <is>
          <t>TA.NHOMTU</t>
        </is>
      </c>
      <c r="Z121" s="3" t="inlineStr">
        <is>
          <t>Soạn thêm</t>
        </is>
      </c>
      <c r="AA121" s="3" t="inlineStr"/>
      <c r="AB121" s="3" t="inlineStr">
        <is>
          <t>Đã học cake (Unit 2), chips, milk (Unit 5), door (Unit 4).</t>
        </is>
      </c>
      <c r="AC121" s="3" t="inlineStr">
        <is>
          <t>Làm quen tiếng Anh lớp 1; từ vựng Global Success 1 (Unit 1–8).</t>
        </is>
      </c>
      <c r="AD121" s="3" t="inlineStr">
        <is>
          <t>EduChain Kids soạn thêm (2026-10); bám chương trình GDPT 2018 và trình tự SGK đã chọn</t>
        </is>
      </c>
      <c r="AE121" s="3" t="inlineStr">
        <is>
          <t>Bản soạn mới — cần rà soát</t>
        </is>
      </c>
      <c r="AF121" s="3" t="inlineStr">
        <is>
          <t>Chờ giáo viên duyệt</t>
        </is>
      </c>
      <c r="AG121" s="3" t="n"/>
    </row>
  </sheetData>
  <conditionalFormatting sqref="A2:AG121">
    <cfRule type="expression" priority="1" dxfId="0">
      <formula>$F2=1</formula>
    </cfRule>
    <cfRule type="expression" priority="2" dxfId="1">
      <formula>$F2=2</formula>
    </cfRule>
    <cfRule type="expression" priority="3" dxfId="2">
      <formula>$F2=3</formula>
    </cfRule>
    <cfRule type="expression" priority="4" dxfId="3">
      <formula>$F2=4</formula>
    </cfRule>
    <cfRule type="expression" priority="5" dxfId="4">
      <formula>$F2=5</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7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6" customWidth="1" min="3" max="3"/>
    <col width="14" customWidth="1" min="4" max="4"/>
    <col width="30" customWidth="1" min="5" max="5"/>
    <col width="30" customWidth="1" min="6" max="6"/>
    <col width="14" customWidth="1" min="7" max="7"/>
    <col width="8" customWidth="1" min="8" max="8"/>
    <col width="11" customWidth="1" min="9" max="9"/>
    <col width="44" customWidth="1" min="10" max="10"/>
    <col width="36" customWidth="1" min="11" max="11"/>
    <col width="24" customWidth="1" min="12" max="12"/>
    <col width="36" customWidth="1" min="13" max="13"/>
    <col width="36" customWidth="1" min="14" max="14"/>
    <col width="10" customWidth="1" min="15" max="15"/>
    <col width="9" customWidth="1" min="16" max="16"/>
    <col width="12" customWidth="1" min="17" max="17"/>
    <col width="14" customWidth="1" min="18" max="18"/>
  </cols>
  <sheetData>
    <row r="1" ht="34" customHeight="1">
      <c r="A1" s="1" t="inlineStr">
        <is>
          <t>ID</t>
        </is>
      </c>
      <c r="B1" s="1" t="inlineStr">
        <is>
          <t>Môn học</t>
        </is>
      </c>
      <c r="C1" s="1" t="inlineStr">
        <is>
          <t>Bộ sách</t>
        </is>
      </c>
      <c r="D1" s="1" t="inlineStr">
        <is>
          <t>Vị trí trong sách</t>
        </is>
      </c>
      <c r="E1" s="1" t="inlineStr">
        <is>
          <t>Chủ đề / Unit</t>
        </is>
      </c>
      <c r="F1" s="1" t="inlineStr">
        <is>
          <t>Bài</t>
        </is>
      </c>
      <c r="G1" s="1" t="inlineStr">
        <is>
          <t>Loại câu hỏi</t>
        </is>
      </c>
      <c r="H1" s="1" t="inlineStr">
        <is>
          <t>Cấp độ</t>
        </is>
      </c>
      <c r="I1" s="1" t="inlineStr">
        <is>
          <t>Tên cấp độ</t>
        </is>
      </c>
      <c r="J1" s="1" t="inlineStr">
        <is>
          <t>Câu hỏi</t>
        </is>
      </c>
      <c r="K1" s="1" t="inlineStr">
        <is>
          <t>Lựa chọn</t>
        </is>
      </c>
      <c r="L1" s="1" t="inlineStr">
        <is>
          <t>Đáp án đúng</t>
        </is>
      </c>
      <c r="M1" s="1" t="inlineStr">
        <is>
          <t>Lời giải / phản hồi</t>
        </is>
      </c>
      <c r="N1" s="1" t="inlineStr">
        <is>
          <t>Lời giải chi tiết</t>
        </is>
      </c>
      <c r="O1" s="1" t="inlineStr">
        <is>
          <t>Thời gian (giây)</t>
        </is>
      </c>
      <c r="P1" s="1" t="inlineStr">
        <is>
          <t>Điểm khi đúng</t>
        </is>
      </c>
      <c r="Q1" s="1" t="inlineStr">
        <is>
          <t>Mã YCCĐ</t>
        </is>
      </c>
      <c r="R1" s="1" t="inlineStr">
        <is>
          <t>Mã dạng bài</t>
        </is>
      </c>
    </row>
    <row r="2">
      <c r="A2" s="3" t="inlineStr">
        <is>
          <t>toan1-kntt-b01-q1</t>
        </is>
      </c>
      <c r="B2" s="3" t="inlineStr">
        <is>
          <t>Toán</t>
        </is>
      </c>
      <c r="C2" s="3" t="inlineStr">
        <is>
          <t>Kết nối tri thức</t>
        </is>
      </c>
      <c r="D2" s="3" t="inlineStr">
        <is>
          <t>Bài 1</t>
        </is>
      </c>
      <c r="E2" s="3" t="inlineStr">
        <is>
          <t>Chủ đề 1. Các số từ 0 đến 10</t>
        </is>
      </c>
      <c r="F2" s="3" t="inlineStr">
        <is>
          <t>Bài 1. Các số 0, 1, 2, 3, 4, 5</t>
        </is>
      </c>
      <c r="G2" s="3" t="inlineStr">
        <is>
          <t>Chọn đáp án</t>
        </is>
      </c>
      <c r="H2" s="14" t="n">
        <v>1</v>
      </c>
      <c r="I2" s="3" t="inlineStr">
        <is>
          <t>Làm quen</t>
        </is>
      </c>
      <c r="J2" s="3" t="inlineStr">
        <is>
          <t>🍎🍎🍎
Có mấy quả táo?</t>
        </is>
      </c>
      <c r="K2" s="3" t="inlineStr">
        <is>
          <t>A. 2 | B. 3 | C. 4 | D. 5</t>
        </is>
      </c>
      <c r="L2" s="3" t="inlineStr">
        <is>
          <t>B</t>
        </is>
      </c>
      <c r="M2" s="3" t="inlineStr">
        <is>
          <t>Đếm từng quả: 1, 2, 3. Có 3 quả táo.</t>
        </is>
      </c>
      <c r="N2" s="3" t="n"/>
      <c r="O2" s="14" t="n">
        <v>30</v>
      </c>
      <c r="P2" s="14">
        <f>INDEX(Khung_cap_do!$H$2:$H$6,H2)</f>
        <v/>
      </c>
      <c r="Q2" s="3" t="inlineStr">
        <is>
          <t>T1.SO.01</t>
        </is>
      </c>
      <c r="R2" s="3" t="inlineStr">
        <is>
          <t>TOAN.DEM</t>
        </is>
      </c>
    </row>
    <row r="3">
      <c r="A3" s="3" t="inlineStr">
        <is>
          <t>toan1-kntt-b01-q2</t>
        </is>
      </c>
      <c r="B3" s="3" t="inlineStr">
        <is>
          <t>Toán</t>
        </is>
      </c>
      <c r="C3" s="3" t="inlineStr">
        <is>
          <t>Kết nối tri thức</t>
        </is>
      </c>
      <c r="D3" s="3" t="inlineStr">
        <is>
          <t>Bài 1</t>
        </is>
      </c>
      <c r="E3" s="3" t="inlineStr">
        <is>
          <t>Chủ đề 1. Các số từ 0 đến 10</t>
        </is>
      </c>
      <c r="F3" s="3" t="inlineStr">
        <is>
          <t>Bài 1. Các số 0, 1, 2, 3, 4, 5</t>
        </is>
      </c>
      <c r="G3" s="3" t="inlineStr">
        <is>
          <t>Chọn đáp án</t>
        </is>
      </c>
      <c r="H3" s="14" t="n">
        <v>1</v>
      </c>
      <c r="I3" s="3" t="inlineStr">
        <is>
          <t>Làm quen</t>
        </is>
      </c>
      <c r="J3" s="3" t="inlineStr">
        <is>
          <t>🐟🐟🐟🐟🐟
Có mấy con cá?</t>
        </is>
      </c>
      <c r="K3" s="3" t="inlineStr">
        <is>
          <t>A. 3 | B. 4 | C. 5 | D. 2</t>
        </is>
      </c>
      <c r="L3" s="3" t="inlineStr">
        <is>
          <t>C</t>
        </is>
      </c>
      <c r="M3" s="3" t="inlineStr">
        <is>
          <t>Đếm: 1, 2, 3, 4, 5. Có 5 con cá.</t>
        </is>
      </c>
      <c r="N3" s="3" t="n"/>
      <c r="O3" s="14" t="n">
        <v>30</v>
      </c>
      <c r="P3" s="14">
        <f>INDEX(Khung_cap_do!$H$2:$H$6,H3)</f>
        <v/>
      </c>
      <c r="Q3" s="3" t="inlineStr">
        <is>
          <t>T1.SO.01</t>
        </is>
      </c>
      <c r="R3" s="3" t="inlineStr">
        <is>
          <t>TOAN.DEM</t>
        </is>
      </c>
    </row>
    <row r="4">
      <c r="A4" s="3" t="inlineStr">
        <is>
          <t>toan1-kntt-b01-q3</t>
        </is>
      </c>
      <c r="B4" s="3" t="inlineStr">
        <is>
          <t>Toán</t>
        </is>
      </c>
      <c r="C4" s="3" t="inlineStr">
        <is>
          <t>Kết nối tri thức</t>
        </is>
      </c>
      <c r="D4" s="3" t="inlineStr">
        <is>
          <t>Bài 1</t>
        </is>
      </c>
      <c r="E4" s="3" t="inlineStr">
        <is>
          <t>Chủ đề 1. Các số từ 0 đến 10</t>
        </is>
      </c>
      <c r="F4" s="3" t="inlineStr">
        <is>
          <t>Bài 1. Các số 0, 1, 2, 3, 4, 5</t>
        </is>
      </c>
      <c r="G4" s="3" t="inlineStr">
        <is>
          <t>Chọn đáp án</t>
        </is>
      </c>
      <c r="H4" s="14" t="n">
        <v>1</v>
      </c>
      <c r="I4" s="3" t="inlineStr">
        <is>
          <t>Làm quen</t>
        </is>
      </c>
      <c r="J4" s="3" t="inlineStr">
        <is>
          <t>🐥🐥🐥🐥
Có mấy con gà con?</t>
        </is>
      </c>
      <c r="K4" s="3" t="inlineStr">
        <is>
          <t>A. 4 | B. 5 | C. 3 | D. 1</t>
        </is>
      </c>
      <c r="L4" s="3" t="inlineStr">
        <is>
          <t>A</t>
        </is>
      </c>
      <c r="M4" s="3" t="inlineStr">
        <is>
          <t>Có 4 con gà con.</t>
        </is>
      </c>
      <c r="N4" s="3" t="n"/>
      <c r="O4" s="14" t="n">
        <v>30</v>
      </c>
      <c r="P4" s="14">
        <f>INDEX(Khung_cap_do!$H$2:$H$6,H4)</f>
        <v/>
      </c>
      <c r="Q4" s="3" t="inlineStr">
        <is>
          <t>T1.SO.01</t>
        </is>
      </c>
      <c r="R4" s="3" t="inlineStr">
        <is>
          <t>TOAN.DEM</t>
        </is>
      </c>
    </row>
    <row r="5">
      <c r="A5" s="3" t="inlineStr">
        <is>
          <t>toan1-kntt-b01-q4</t>
        </is>
      </c>
      <c r="B5" s="3" t="inlineStr">
        <is>
          <t>Toán</t>
        </is>
      </c>
      <c r="C5" s="3" t="inlineStr">
        <is>
          <t>Kết nối tri thức</t>
        </is>
      </c>
      <c r="D5" s="3" t="inlineStr">
        <is>
          <t>Bài 1</t>
        </is>
      </c>
      <c r="E5" s="3" t="inlineStr">
        <is>
          <t>Chủ đề 1. Các số từ 0 đến 10</t>
        </is>
      </c>
      <c r="F5" s="3" t="inlineStr">
        <is>
          <t>Bài 1. Các số 0, 1, 2, 3, 4, 5</t>
        </is>
      </c>
      <c r="G5" s="3" t="inlineStr">
        <is>
          <t>Điền đáp án</t>
        </is>
      </c>
      <c r="H5" s="14" t="n">
        <v>2</v>
      </c>
      <c r="I5" s="3" t="inlineStr">
        <is>
          <t>Cơ bản</t>
        </is>
      </c>
      <c r="J5" s="3" t="inlineStr">
        <is>
          <t>Trong đĩa không có quả cam nào. Số quả cam trong đĩa là mấy?</t>
        </is>
      </c>
      <c r="K5" s="3" t="inlineStr"/>
      <c r="L5" s="3" t="inlineStr">
        <is>
          <t>0 / không</t>
        </is>
      </c>
      <c r="M5" s="3" t="inlineStr">
        <is>
          <t>Không có quả nào thì viết số 0.</t>
        </is>
      </c>
      <c r="N5" s="3" t="inlineStr">
        <is>
          <t>Số 0 dùng khi không có đồ vật nào. Đĩa trống nên số quả cam là 0.</t>
        </is>
      </c>
      <c r="O5" s="14" t="n">
        <v>50</v>
      </c>
      <c r="P5" s="14">
        <f>INDEX(Khung_cap_do!$H$2:$H$6,H5)</f>
        <v/>
      </c>
      <c r="Q5" s="3" t="inlineStr">
        <is>
          <t>T1.SO.01</t>
        </is>
      </c>
      <c r="R5" s="3" t="inlineStr">
        <is>
          <t>TOAN.DOCVIET</t>
        </is>
      </c>
    </row>
    <row r="6">
      <c r="A6" s="3" t="inlineStr">
        <is>
          <t>toan1-kntt-b01-q5</t>
        </is>
      </c>
      <c r="B6" s="3" t="inlineStr">
        <is>
          <t>Toán</t>
        </is>
      </c>
      <c r="C6" s="3" t="inlineStr">
        <is>
          <t>Kết nối tri thức</t>
        </is>
      </c>
      <c r="D6" s="3" t="inlineStr">
        <is>
          <t>Bài 1</t>
        </is>
      </c>
      <c r="E6" s="3" t="inlineStr">
        <is>
          <t>Chủ đề 1. Các số từ 0 đến 10</t>
        </is>
      </c>
      <c r="F6" s="3" t="inlineStr">
        <is>
          <t>Bài 1. Các số 0, 1, 2, 3, 4, 5</t>
        </is>
      </c>
      <c r="G6" s="3" t="inlineStr">
        <is>
          <t>Điền đáp án</t>
        </is>
      </c>
      <c r="H6" s="14" t="n">
        <v>2</v>
      </c>
      <c r="I6" s="3" t="inlineStr">
        <is>
          <t>Cơ bản</t>
        </is>
      </c>
      <c r="J6" s="3" t="inlineStr">
        <is>
          <t>Đếm tiếp: 1, 2, 3, ..., 5. Số còn thiếu là số mấy?</t>
        </is>
      </c>
      <c r="K6" s="3" t="inlineStr"/>
      <c r="L6" s="3" t="inlineStr">
        <is>
          <t>4 / bốn</t>
        </is>
      </c>
      <c r="M6" s="3" t="inlineStr">
        <is>
          <t>Sau 3 là 4, sau 4 là 5.</t>
        </is>
      </c>
      <c r="N6" s="3" t="n"/>
      <c r="O6" s="14" t="n">
        <v>50</v>
      </c>
      <c r="P6" s="14">
        <f>INDEX(Khung_cap_do!$H$2:$H$6,H6)</f>
        <v/>
      </c>
      <c r="Q6" s="3" t="inlineStr">
        <is>
          <t>T1.SO.01</t>
        </is>
      </c>
      <c r="R6" s="3" t="inlineStr">
        <is>
          <t>TOAN.SOTHIEU</t>
        </is>
      </c>
    </row>
    <row r="7">
      <c r="A7" s="3" t="inlineStr">
        <is>
          <t>toan1-kntt-b01-q6</t>
        </is>
      </c>
      <c r="B7" s="3" t="inlineStr">
        <is>
          <t>Toán</t>
        </is>
      </c>
      <c r="C7" s="3" t="inlineStr">
        <is>
          <t>Kết nối tri thức</t>
        </is>
      </c>
      <c r="D7" s="3" t="inlineStr">
        <is>
          <t>Bài 1</t>
        </is>
      </c>
      <c r="E7" s="3" t="inlineStr">
        <is>
          <t>Chủ đề 1. Các số từ 0 đến 10</t>
        </is>
      </c>
      <c r="F7" s="3" t="inlineStr">
        <is>
          <t>Bài 1. Các số 0, 1, 2, 3, 4, 5</t>
        </is>
      </c>
      <c r="G7" s="3" t="inlineStr">
        <is>
          <t>Chọn đáp án</t>
        </is>
      </c>
      <c r="H7" s="14" t="n">
        <v>2</v>
      </c>
      <c r="I7" s="3" t="inlineStr">
        <is>
          <t>Cơ bản</t>
        </is>
      </c>
      <c r="J7" s="3" t="inlineStr">
        <is>
          <t>Số nào đứng ngay sau số 2?</t>
        </is>
      </c>
      <c r="K7" s="3" t="inlineStr">
        <is>
          <t>A. 1 | B. 3 | C. 4 | D. 5</t>
        </is>
      </c>
      <c r="L7" s="3" t="inlineStr">
        <is>
          <t>B</t>
        </is>
      </c>
      <c r="M7" s="3" t="inlineStr">
        <is>
          <t>Đếm 1, 2, 3: số đứng ngay sau 2 là 3.</t>
        </is>
      </c>
      <c r="N7" s="3" t="n"/>
      <c r="O7" s="14" t="n">
        <v>40</v>
      </c>
      <c r="P7" s="14">
        <f>INDEX(Khung_cap_do!$H$2:$H$6,H7)</f>
        <v/>
      </c>
      <c r="Q7" s="3" t="inlineStr">
        <is>
          <t>T1.SO.01</t>
        </is>
      </c>
      <c r="R7" s="3" t="inlineStr">
        <is>
          <t>TOAN.DOCVIET</t>
        </is>
      </c>
    </row>
    <row r="8">
      <c r="A8" s="3" t="inlineStr">
        <is>
          <t>toan1-kntt-b01-q7</t>
        </is>
      </c>
      <c r="B8" s="3" t="inlineStr">
        <is>
          <t>Toán</t>
        </is>
      </c>
      <c r="C8" s="3" t="inlineStr">
        <is>
          <t>Kết nối tri thức</t>
        </is>
      </c>
      <c r="D8" s="3" t="inlineStr">
        <is>
          <t>Bài 1</t>
        </is>
      </c>
      <c r="E8" s="3" t="inlineStr">
        <is>
          <t>Chủ đề 1. Các số từ 0 đến 10</t>
        </is>
      </c>
      <c r="F8" s="3" t="inlineStr">
        <is>
          <t>Bài 1. Các số 0, 1, 2, 3, 4, 5</t>
        </is>
      </c>
      <c r="G8" s="3" t="inlineStr">
        <is>
          <t>Ghép cặp</t>
        </is>
      </c>
      <c r="H8" s="14" t="n">
        <v>2</v>
      </c>
      <c r="I8" s="3" t="inlineStr">
        <is>
          <t>Cơ bản</t>
        </is>
      </c>
      <c r="J8" s="3" t="inlineStr">
        <is>
          <t>Ghép nhóm hình với số đúng</t>
        </is>
      </c>
      <c r="K8" s="3" t="inlineStr">
        <is>
          <t>⭐⭐ ↔ ? / ⭐⭐⭐⭐ ↔ ? / ⭐ ↔ ?</t>
        </is>
      </c>
      <c r="L8" s="3" t="inlineStr">
        <is>
          <t>⭐⭐ – 2; ⭐⭐⭐⭐ – 4; ⭐ – 1</t>
        </is>
      </c>
      <c r="M8" s="3" t="inlineStr">
        <is>
          <t>2 ngôi sao ghép số 2, 4 ngôi sao ghép số 4, 1 ngôi sao ghép số 1.</t>
        </is>
      </c>
      <c r="N8" s="3" t="n"/>
      <c r="O8" s="14" t="n">
        <v>55</v>
      </c>
      <c r="P8" s="14">
        <f>INDEX(Khung_cap_do!$H$2:$H$6,H8)</f>
        <v/>
      </c>
      <c r="Q8" s="3" t="inlineStr">
        <is>
          <t>T1.SO.01</t>
        </is>
      </c>
      <c r="R8" s="3" t="inlineStr">
        <is>
          <t>TOAN.DEM</t>
        </is>
      </c>
    </row>
    <row r="9">
      <c r="A9" s="3" t="inlineStr">
        <is>
          <t>toan1-kntt-b01-q8</t>
        </is>
      </c>
      <c r="B9" s="3" t="inlineStr">
        <is>
          <t>Toán</t>
        </is>
      </c>
      <c r="C9" s="3" t="inlineStr">
        <is>
          <t>Kết nối tri thức</t>
        </is>
      </c>
      <c r="D9" s="3" t="inlineStr">
        <is>
          <t>Bài 1</t>
        </is>
      </c>
      <c r="E9" s="3" t="inlineStr">
        <is>
          <t>Chủ đề 1. Các số từ 0 đến 10</t>
        </is>
      </c>
      <c r="F9" s="3" t="inlineStr">
        <is>
          <t>Bài 1. Các số 0, 1, 2, 3, 4, 5</t>
        </is>
      </c>
      <c r="G9" s="3" t="inlineStr">
        <is>
          <t>Sắp xếp</t>
        </is>
      </c>
      <c r="H9" s="14" t="n">
        <v>2</v>
      </c>
      <c r="I9" s="3" t="inlineStr">
        <is>
          <t>Cơ bản</t>
        </is>
      </c>
      <c r="J9" s="3" t="inlineStr">
        <is>
          <t>Xếp các số theo thứ tự đếm từ bé đến lớn</t>
        </is>
      </c>
      <c r="K9" s="3" t="inlineStr">
        <is>
          <t>0 / 1 / 2 / 3 / 4</t>
        </is>
      </c>
      <c r="L9" s="3" t="inlineStr">
        <is>
          <t>0 → 1 → 2 → 3 → 4</t>
        </is>
      </c>
      <c r="M9" s="3" t="inlineStr">
        <is>
          <t>Thứ tự đếm: 0, 1, 2, 3, 4.</t>
        </is>
      </c>
      <c r="N9" s="3" t="n"/>
      <c r="O9" s="14" t="n">
        <v>55</v>
      </c>
      <c r="P9" s="14">
        <f>INDEX(Khung_cap_do!$H$2:$H$6,H9)</f>
        <v/>
      </c>
      <c r="Q9" s="3" t="inlineStr">
        <is>
          <t>T1.SO.01</t>
        </is>
      </c>
      <c r="R9" s="3" t="inlineStr">
        <is>
          <t>TOAN.SAPXEP</t>
        </is>
      </c>
    </row>
    <row r="10">
      <c r="A10" s="3" t="inlineStr">
        <is>
          <t>toan1-kntt-b01-q9</t>
        </is>
      </c>
      <c r="B10" s="3" t="inlineStr">
        <is>
          <t>Toán</t>
        </is>
      </c>
      <c r="C10" s="3" t="inlineStr">
        <is>
          <t>Kết nối tri thức</t>
        </is>
      </c>
      <c r="D10" s="3" t="inlineStr">
        <is>
          <t>Bài 1</t>
        </is>
      </c>
      <c r="E10" s="3" t="inlineStr">
        <is>
          <t>Chủ đề 1. Các số từ 0 đến 10</t>
        </is>
      </c>
      <c r="F10" s="3" t="inlineStr">
        <is>
          <t>Bài 1. Các số 0, 1, 2, 3, 4, 5</t>
        </is>
      </c>
      <c r="G10" s="3" t="inlineStr">
        <is>
          <t>Đúng / Sai</t>
        </is>
      </c>
      <c r="H10" s="14" t="n">
        <v>1</v>
      </c>
      <c r="I10" s="3" t="inlineStr">
        <is>
          <t>Làm quen</t>
        </is>
      </c>
      <c r="J10" s="3" t="inlineStr">
        <is>
          <t>🌸🌸🌸🌸
Có 5 bông hoa. Đúng hay sai?</t>
        </is>
      </c>
      <c r="K10" s="3" t="inlineStr">
        <is>
          <t>A. Đúng | B. Sai</t>
        </is>
      </c>
      <c r="L10" s="3" t="inlineStr">
        <is>
          <t>B</t>
        </is>
      </c>
      <c r="M10" s="3" t="inlineStr">
        <is>
          <t>Đếm lại: 1, 2, 3, 4. Chỉ có 4 bông hoa.</t>
        </is>
      </c>
      <c r="N10" s="3" t="n"/>
      <c r="O10" s="14" t="n">
        <v>30</v>
      </c>
      <c r="P10" s="14">
        <f>INDEX(Khung_cap_do!$H$2:$H$6,H10)</f>
        <v/>
      </c>
      <c r="Q10" s="3" t="inlineStr">
        <is>
          <t>T1.SO.01</t>
        </is>
      </c>
      <c r="R10" s="3" t="inlineStr">
        <is>
          <t>TOAN.DUNGSAI</t>
        </is>
      </c>
    </row>
    <row r="11">
      <c r="A11" s="3" t="inlineStr">
        <is>
          <t>toan1-kntt-b01-q10</t>
        </is>
      </c>
      <c r="B11" s="3" t="inlineStr">
        <is>
          <t>Toán</t>
        </is>
      </c>
      <c r="C11" s="3" t="inlineStr">
        <is>
          <t>Kết nối tri thức</t>
        </is>
      </c>
      <c r="D11" s="3" t="inlineStr">
        <is>
          <t>Bài 1</t>
        </is>
      </c>
      <c r="E11" s="3" t="inlineStr">
        <is>
          <t>Chủ đề 1. Các số từ 0 đến 10</t>
        </is>
      </c>
      <c r="F11" s="3" t="inlineStr">
        <is>
          <t>Bài 1. Các số 0, 1, 2, 3, 4, 5</t>
        </is>
      </c>
      <c r="G11" s="3" t="inlineStr">
        <is>
          <t>Điền đáp án</t>
        </is>
      </c>
      <c r="H11" s="14" t="n">
        <v>3</v>
      </c>
      <c r="I11" s="3" t="inlineStr">
        <is>
          <t>Vận dụng</t>
        </is>
      </c>
      <c r="J11" s="3" t="inlineStr">
        <is>
          <t>Tổ em có 5 bạn, mỗi bạn cầm 1 lá cờ. Tổ em có tất cả mấy lá cờ?</t>
        </is>
      </c>
      <c r="K11" s="3" t="inlineStr"/>
      <c r="L11" s="3" t="inlineStr">
        <is>
          <t>5 / năm</t>
        </is>
      </c>
      <c r="M11" s="3" t="inlineStr">
        <is>
          <t>Mỗi bạn 1 lá cờ, 5 bạn thì có 5 lá cờ.</t>
        </is>
      </c>
      <c r="N11" s="3" t="inlineStr">
        <is>
          <t>Mỗi bạn cầm đúng 1 lá cờ nên số lá cờ bằng số bạn. Có 5 bạn, vậy có 5 lá cờ.</t>
        </is>
      </c>
      <c r="O11" s="14" t="n">
        <v>70</v>
      </c>
      <c r="P11" s="14">
        <f>INDEX(Khung_cap_do!$H$2:$H$6,H11)</f>
        <v/>
      </c>
      <c r="Q11" s="3" t="inlineStr">
        <is>
          <t>T1.SO.01</t>
        </is>
      </c>
      <c r="R11" s="3" t="inlineStr">
        <is>
          <t>TOAN.DEM</t>
        </is>
      </c>
    </row>
    <row r="12">
      <c r="A12" s="3" t="inlineStr">
        <is>
          <t>toan1-kntt-b02-q1</t>
        </is>
      </c>
      <c r="B12" s="3" t="inlineStr">
        <is>
          <t>Toán</t>
        </is>
      </c>
      <c r="C12" s="3" t="inlineStr">
        <is>
          <t>Kết nối tri thức</t>
        </is>
      </c>
      <c r="D12" s="3" t="inlineStr">
        <is>
          <t>Bài 2</t>
        </is>
      </c>
      <c r="E12" s="3" t="inlineStr">
        <is>
          <t>Chủ đề 1. Các số từ 0 đến 10</t>
        </is>
      </c>
      <c r="F12" s="3" t="inlineStr">
        <is>
          <t>Bài 2. Các số 6, 7, 8, 9, 10</t>
        </is>
      </c>
      <c r="G12" s="3" t="inlineStr">
        <is>
          <t>Chọn đáp án</t>
        </is>
      </c>
      <c r="H12" s="14" t="n">
        <v>1</v>
      </c>
      <c r="I12" s="3" t="inlineStr">
        <is>
          <t>Làm quen</t>
        </is>
      </c>
      <c r="J12" s="3" t="inlineStr">
        <is>
          <t>🍊🍊🍊🍊🍊🍊🍊
Có mấy quả cam?</t>
        </is>
      </c>
      <c r="K12" s="3" t="inlineStr">
        <is>
          <t>A. 6 | B. 7 | C. 8 | D. 9</t>
        </is>
      </c>
      <c r="L12" s="3" t="inlineStr">
        <is>
          <t>B</t>
        </is>
      </c>
      <c r="M12" s="3" t="inlineStr">
        <is>
          <t>Đếm từ 1 đến 7. Có 7 quả cam.</t>
        </is>
      </c>
      <c r="N12" s="3" t="n"/>
      <c r="O12" s="14" t="n">
        <v>30</v>
      </c>
      <c r="P12" s="14">
        <f>INDEX(Khung_cap_do!$H$2:$H$6,H12)</f>
        <v/>
      </c>
      <c r="Q12" s="3" t="inlineStr">
        <is>
          <t>T1.SO.01</t>
        </is>
      </c>
      <c r="R12" s="3" t="inlineStr">
        <is>
          <t>TOAN.DEM</t>
        </is>
      </c>
    </row>
    <row r="13">
      <c r="A13" s="3" t="inlineStr">
        <is>
          <t>toan1-kntt-b02-q2</t>
        </is>
      </c>
      <c r="B13" s="3" t="inlineStr">
        <is>
          <t>Toán</t>
        </is>
      </c>
      <c r="C13" s="3" t="inlineStr">
        <is>
          <t>Kết nối tri thức</t>
        </is>
      </c>
      <c r="D13" s="3" t="inlineStr">
        <is>
          <t>Bài 2</t>
        </is>
      </c>
      <c r="E13" s="3" t="inlineStr">
        <is>
          <t>Chủ đề 1. Các số từ 0 đến 10</t>
        </is>
      </c>
      <c r="F13" s="3" t="inlineStr">
        <is>
          <t>Bài 2. Các số 6, 7, 8, 9, 10</t>
        </is>
      </c>
      <c r="G13" s="3" t="inlineStr">
        <is>
          <t>Chọn đáp án</t>
        </is>
      </c>
      <c r="H13" s="14" t="n">
        <v>1</v>
      </c>
      <c r="I13" s="3" t="inlineStr">
        <is>
          <t>Làm quen</t>
        </is>
      </c>
      <c r="J13" s="3" t="inlineStr">
        <is>
          <t>🎈🎈🎈🎈🎈🎈🎈🎈🎈🎈
Có mấy quả bóng bay?</t>
        </is>
      </c>
      <c r="K13" s="3" t="inlineStr">
        <is>
          <t>A. 8 | B. 9 | C. 10 | D. 7</t>
        </is>
      </c>
      <c r="L13" s="3" t="inlineStr">
        <is>
          <t>C</t>
        </is>
      </c>
      <c r="M13" s="3" t="inlineStr">
        <is>
          <t>Có 10 quả bóng bay.</t>
        </is>
      </c>
      <c r="N13" s="3" t="inlineStr">
        <is>
          <t>Mẹo: đếm theo hàng, mỗi lần chỉ một quả và không đếm lại quả đã đếm. Đếm đến quả cuối cùng là 10.</t>
        </is>
      </c>
      <c r="O13" s="14" t="n">
        <v>30</v>
      </c>
      <c r="P13" s="14">
        <f>INDEX(Khung_cap_do!$H$2:$H$6,H13)</f>
        <v/>
      </c>
      <c r="Q13" s="3" t="inlineStr">
        <is>
          <t>T1.SO.01</t>
        </is>
      </c>
      <c r="R13" s="3" t="inlineStr">
        <is>
          <t>TOAN.DEM</t>
        </is>
      </c>
    </row>
    <row r="14">
      <c r="A14" s="3" t="inlineStr">
        <is>
          <t>toan1-kntt-b02-q3</t>
        </is>
      </c>
      <c r="B14" s="3" t="inlineStr">
        <is>
          <t>Toán</t>
        </is>
      </c>
      <c r="C14" s="3" t="inlineStr">
        <is>
          <t>Kết nối tri thức</t>
        </is>
      </c>
      <c r="D14" s="3" t="inlineStr">
        <is>
          <t>Bài 2</t>
        </is>
      </c>
      <c r="E14" s="3" t="inlineStr">
        <is>
          <t>Chủ đề 1. Các số từ 0 đến 10</t>
        </is>
      </c>
      <c r="F14" s="3" t="inlineStr">
        <is>
          <t>Bài 2. Các số 6, 7, 8, 9, 10</t>
        </is>
      </c>
      <c r="G14" s="3" t="inlineStr">
        <is>
          <t>Chọn đáp án</t>
        </is>
      </c>
      <c r="H14" s="14" t="n">
        <v>1</v>
      </c>
      <c r="I14" s="3" t="inlineStr">
        <is>
          <t>Làm quen</t>
        </is>
      </c>
      <c r="J14" s="3" t="inlineStr">
        <is>
          <t>🐞🐞🐞🐞🐞🐞
Có mấy con bọ rùa?</t>
        </is>
      </c>
      <c r="K14" s="3" t="inlineStr">
        <is>
          <t>A. 6 | B. 5 | C. 7 | D. 8</t>
        </is>
      </c>
      <c r="L14" s="3" t="inlineStr">
        <is>
          <t>A</t>
        </is>
      </c>
      <c r="M14" s="3" t="inlineStr">
        <is>
          <t>Có 6 con bọ rùa.</t>
        </is>
      </c>
      <c r="N14" s="3" t="n"/>
      <c r="O14" s="14" t="n">
        <v>30</v>
      </c>
      <c r="P14" s="14">
        <f>INDEX(Khung_cap_do!$H$2:$H$6,H14)</f>
        <v/>
      </c>
      <c r="Q14" s="3" t="inlineStr">
        <is>
          <t>T1.SO.01</t>
        </is>
      </c>
      <c r="R14" s="3" t="inlineStr">
        <is>
          <t>TOAN.DEM</t>
        </is>
      </c>
    </row>
    <row r="15">
      <c r="A15" s="3" t="inlineStr">
        <is>
          <t>toan1-kntt-b02-q4</t>
        </is>
      </c>
      <c r="B15" s="3" t="inlineStr">
        <is>
          <t>Toán</t>
        </is>
      </c>
      <c r="C15" s="3" t="inlineStr">
        <is>
          <t>Kết nối tri thức</t>
        </is>
      </c>
      <c r="D15" s="3" t="inlineStr">
        <is>
          <t>Bài 2</t>
        </is>
      </c>
      <c r="E15" s="3" t="inlineStr">
        <is>
          <t>Chủ đề 1. Các số từ 0 đến 10</t>
        </is>
      </c>
      <c r="F15" s="3" t="inlineStr">
        <is>
          <t>Bài 2. Các số 6, 7, 8, 9, 10</t>
        </is>
      </c>
      <c r="G15" s="3" t="inlineStr">
        <is>
          <t>Điền đáp án</t>
        </is>
      </c>
      <c r="H15" s="14" t="n">
        <v>1</v>
      </c>
      <c r="I15" s="3" t="inlineStr">
        <is>
          <t>Làm quen</t>
        </is>
      </c>
      <c r="J15" s="3" t="inlineStr">
        <is>
          <t>Viết số: tám</t>
        </is>
      </c>
      <c r="K15" s="3" t="inlineStr"/>
      <c r="L15" s="3" t="inlineStr">
        <is>
          <t>8</t>
        </is>
      </c>
      <c r="M15" s="3" t="inlineStr">
        <is>
          <t>Số tám viết là 8.</t>
        </is>
      </c>
      <c r="N15" s="3" t="n"/>
      <c r="O15" s="14" t="n">
        <v>40</v>
      </c>
      <c r="P15" s="14">
        <f>INDEX(Khung_cap_do!$H$2:$H$6,H15)</f>
        <v/>
      </c>
      <c r="Q15" s="3" t="inlineStr">
        <is>
          <t>T1.SO.01</t>
        </is>
      </c>
      <c r="R15" s="3" t="inlineStr">
        <is>
          <t>TOAN.DOCVIET</t>
        </is>
      </c>
    </row>
    <row r="16">
      <c r="A16" s="3" t="inlineStr">
        <is>
          <t>toan1-kntt-b02-q5</t>
        </is>
      </c>
      <c r="B16" s="3" t="inlineStr">
        <is>
          <t>Toán</t>
        </is>
      </c>
      <c r="C16" s="3" t="inlineStr">
        <is>
          <t>Kết nối tri thức</t>
        </is>
      </c>
      <c r="D16" s="3" t="inlineStr">
        <is>
          <t>Bài 2</t>
        </is>
      </c>
      <c r="E16" s="3" t="inlineStr">
        <is>
          <t>Chủ đề 1. Các số từ 0 đến 10</t>
        </is>
      </c>
      <c r="F16" s="3" t="inlineStr">
        <is>
          <t>Bài 2. Các số 6, 7, 8, 9, 10</t>
        </is>
      </c>
      <c r="G16" s="3" t="inlineStr">
        <is>
          <t>Chọn đáp án</t>
        </is>
      </c>
      <c r="H16" s="14" t="n">
        <v>1</v>
      </c>
      <c r="I16" s="3" t="inlineStr">
        <is>
          <t>Làm quen</t>
        </is>
      </c>
      <c r="J16" s="3" t="inlineStr">
        <is>
          <t>Số 9 đọc là gì?</t>
        </is>
      </c>
      <c r="K16" s="3" t="inlineStr">
        <is>
          <t>A. chín | B. sáu | C. tám | D. mười</t>
        </is>
      </c>
      <c r="L16" s="3" t="inlineStr">
        <is>
          <t>A</t>
        </is>
      </c>
      <c r="M16" s="3" t="inlineStr">
        <is>
          <t>Số 9 đọc là "chín".</t>
        </is>
      </c>
      <c r="N16" s="3" t="n"/>
      <c r="O16" s="14" t="n">
        <v>30</v>
      </c>
      <c r="P16" s="14">
        <f>INDEX(Khung_cap_do!$H$2:$H$6,H16)</f>
        <v/>
      </c>
      <c r="Q16" s="3" t="inlineStr">
        <is>
          <t>T1.SO.01</t>
        </is>
      </c>
      <c r="R16" s="3" t="inlineStr">
        <is>
          <t>TOAN.DOCVIET</t>
        </is>
      </c>
    </row>
    <row r="17">
      <c r="A17" s="3" t="inlineStr">
        <is>
          <t>toan1-kntt-b02-q6</t>
        </is>
      </c>
      <c r="B17" s="3" t="inlineStr">
        <is>
          <t>Toán</t>
        </is>
      </c>
      <c r="C17" s="3" t="inlineStr">
        <is>
          <t>Kết nối tri thức</t>
        </is>
      </c>
      <c r="D17" s="3" t="inlineStr">
        <is>
          <t>Bài 2</t>
        </is>
      </c>
      <c r="E17" s="3" t="inlineStr">
        <is>
          <t>Chủ đề 1. Các số từ 0 đến 10</t>
        </is>
      </c>
      <c r="F17" s="3" t="inlineStr">
        <is>
          <t>Bài 2. Các số 6, 7, 8, 9, 10</t>
        </is>
      </c>
      <c r="G17" s="3" t="inlineStr">
        <is>
          <t>Điền đáp án</t>
        </is>
      </c>
      <c r="H17" s="14" t="n">
        <v>2</v>
      </c>
      <c r="I17" s="3" t="inlineStr">
        <is>
          <t>Cơ bản</t>
        </is>
      </c>
      <c r="J17" s="3" t="inlineStr">
        <is>
          <t>6, 7, ..., 9, 10. Số còn thiếu là số mấy?</t>
        </is>
      </c>
      <c r="K17" s="3" t="inlineStr"/>
      <c r="L17" s="3" t="inlineStr">
        <is>
          <t>8 / tám</t>
        </is>
      </c>
      <c r="M17" s="3" t="inlineStr">
        <is>
          <t>Sau 7 là 8, sau 8 là 9.</t>
        </is>
      </c>
      <c r="N17" s="3" t="n"/>
      <c r="O17" s="14" t="n">
        <v>50</v>
      </c>
      <c r="P17" s="14">
        <f>INDEX(Khung_cap_do!$H$2:$H$6,H17)</f>
        <v/>
      </c>
      <c r="Q17" s="3" t="inlineStr">
        <is>
          <t>T1.SO.01</t>
        </is>
      </c>
      <c r="R17" s="3" t="inlineStr">
        <is>
          <t>TOAN.SOTHIEU</t>
        </is>
      </c>
    </row>
    <row r="18">
      <c r="A18" s="3" t="inlineStr">
        <is>
          <t>toan1-kntt-b02-q7</t>
        </is>
      </c>
      <c r="B18" s="3" t="inlineStr">
        <is>
          <t>Toán</t>
        </is>
      </c>
      <c r="C18" s="3" t="inlineStr">
        <is>
          <t>Kết nối tri thức</t>
        </is>
      </c>
      <c r="D18" s="3" t="inlineStr">
        <is>
          <t>Bài 2</t>
        </is>
      </c>
      <c r="E18" s="3" t="inlineStr">
        <is>
          <t>Chủ đề 1. Các số từ 0 đến 10</t>
        </is>
      </c>
      <c r="F18" s="3" t="inlineStr">
        <is>
          <t>Bài 2. Các số 6, 7, 8, 9, 10</t>
        </is>
      </c>
      <c r="G18" s="3" t="inlineStr">
        <is>
          <t>Ghép cặp</t>
        </is>
      </c>
      <c r="H18" s="14" t="n">
        <v>2</v>
      </c>
      <c r="I18" s="3" t="inlineStr">
        <is>
          <t>Cơ bản</t>
        </is>
      </c>
      <c r="J18" s="3" t="inlineStr">
        <is>
          <t>Ghép số với cách đọc</t>
        </is>
      </c>
      <c r="K18" s="3" t="inlineStr">
        <is>
          <t>6 ↔ ? / 7 ↔ ? / 10 ↔ ?</t>
        </is>
      </c>
      <c r="L18" s="3" t="inlineStr">
        <is>
          <t>6 – sáu; 7 – bảy; 10 – mười</t>
        </is>
      </c>
      <c r="M18" s="3" t="inlineStr">
        <is>
          <t>6 – sáu, 7 – bảy, 10 – mười.</t>
        </is>
      </c>
      <c r="N18" s="3" t="n"/>
      <c r="O18" s="14" t="n">
        <v>55</v>
      </c>
      <c r="P18" s="14">
        <f>INDEX(Khung_cap_do!$H$2:$H$6,H18)</f>
        <v/>
      </c>
      <c r="Q18" s="3" t="inlineStr">
        <is>
          <t>T1.SO.01</t>
        </is>
      </c>
      <c r="R18" s="3" t="inlineStr">
        <is>
          <t>TOAN.DOCVIET</t>
        </is>
      </c>
    </row>
    <row r="19">
      <c r="A19" s="3" t="inlineStr">
        <is>
          <t>toan1-kntt-b02-q8</t>
        </is>
      </c>
      <c r="B19" s="3" t="inlineStr">
        <is>
          <t>Toán</t>
        </is>
      </c>
      <c r="C19" s="3" t="inlineStr">
        <is>
          <t>Kết nối tri thức</t>
        </is>
      </c>
      <c r="D19" s="3" t="inlineStr">
        <is>
          <t>Bài 2</t>
        </is>
      </c>
      <c r="E19" s="3" t="inlineStr">
        <is>
          <t>Chủ đề 1. Các số từ 0 đến 10</t>
        </is>
      </c>
      <c r="F19" s="3" t="inlineStr">
        <is>
          <t>Bài 2. Các số 6, 7, 8, 9, 10</t>
        </is>
      </c>
      <c r="G19" s="3" t="inlineStr">
        <is>
          <t>Sắp xếp</t>
        </is>
      </c>
      <c r="H19" s="14" t="n">
        <v>2</v>
      </c>
      <c r="I19" s="3" t="inlineStr">
        <is>
          <t>Cơ bản</t>
        </is>
      </c>
      <c r="J19" s="3" t="inlineStr">
        <is>
          <t>Xếp các số theo thứ tự đếm</t>
        </is>
      </c>
      <c r="K19" s="3" t="inlineStr">
        <is>
          <t>10 / 6 / 7 / 8 / 9</t>
        </is>
      </c>
      <c r="L19" s="3" t="inlineStr">
        <is>
          <t>6 → 7 → 8 → 9 → 10</t>
        </is>
      </c>
      <c r="M19" s="3" t="inlineStr">
        <is>
          <t>Thứ tự: 6, 7, 8, 9, 10.</t>
        </is>
      </c>
      <c r="N19" s="3" t="n"/>
      <c r="O19" s="14" t="n">
        <v>55</v>
      </c>
      <c r="P19" s="14">
        <f>INDEX(Khung_cap_do!$H$2:$H$6,H19)</f>
        <v/>
      </c>
      <c r="Q19" s="3" t="inlineStr">
        <is>
          <t>T1.SO.01</t>
        </is>
      </c>
      <c r="R19" s="3" t="inlineStr">
        <is>
          <t>TOAN.SAPXEP</t>
        </is>
      </c>
    </row>
    <row r="20">
      <c r="A20" s="3" t="inlineStr">
        <is>
          <t>toan1-kntt-b02-q9</t>
        </is>
      </c>
      <c r="B20" s="3" t="inlineStr">
        <is>
          <t>Toán</t>
        </is>
      </c>
      <c r="C20" s="3" t="inlineStr">
        <is>
          <t>Kết nối tri thức</t>
        </is>
      </c>
      <c r="D20" s="3" t="inlineStr">
        <is>
          <t>Bài 2</t>
        </is>
      </c>
      <c r="E20" s="3" t="inlineStr">
        <is>
          <t>Chủ đề 1. Các số từ 0 đến 10</t>
        </is>
      </c>
      <c r="F20" s="3" t="inlineStr">
        <is>
          <t>Bài 2. Các số 6, 7, 8, 9, 10</t>
        </is>
      </c>
      <c r="G20" s="3" t="inlineStr">
        <is>
          <t>Đúng / Sai</t>
        </is>
      </c>
      <c r="H20" s="14" t="n">
        <v>2</v>
      </c>
      <c r="I20" s="3" t="inlineStr">
        <is>
          <t>Cơ bản</t>
        </is>
      </c>
      <c r="J20" s="3" t="inlineStr">
        <is>
          <t>Số 10 được viết bằng hai chữ số: chữ số 1 và chữ số 0. Đúng hay sai?</t>
        </is>
      </c>
      <c r="K20" s="3" t="inlineStr">
        <is>
          <t>A. Đúng | B. Sai</t>
        </is>
      </c>
      <c r="L20" s="3" t="inlineStr">
        <is>
          <t>A</t>
        </is>
      </c>
      <c r="M20" s="3" t="inlineStr">
        <is>
          <t>Số 10 viết là 1 và 0 đứng cạnh nhau.</t>
        </is>
      </c>
      <c r="N20" s="3" t="n"/>
      <c r="O20" s="14" t="n">
        <v>50</v>
      </c>
      <c r="P20" s="14">
        <f>INDEX(Khung_cap_do!$H$2:$H$6,H20)</f>
        <v/>
      </c>
      <c r="Q20" s="3" t="inlineStr">
        <is>
          <t>T1.SO.01</t>
        </is>
      </c>
      <c r="R20" s="3" t="inlineStr">
        <is>
          <t>TOAN.DUNGSAI</t>
        </is>
      </c>
    </row>
    <row r="21">
      <c r="A21" s="3" t="inlineStr">
        <is>
          <t>toan1-kntt-b02-q10</t>
        </is>
      </c>
      <c r="B21" s="3" t="inlineStr">
        <is>
          <t>Toán</t>
        </is>
      </c>
      <c r="C21" s="3" t="inlineStr">
        <is>
          <t>Kết nối tri thức</t>
        </is>
      </c>
      <c r="D21" s="3" t="inlineStr">
        <is>
          <t>Bài 2</t>
        </is>
      </c>
      <c r="E21" s="3" t="inlineStr">
        <is>
          <t>Chủ đề 1. Các số từ 0 đến 10</t>
        </is>
      </c>
      <c r="F21" s="3" t="inlineStr">
        <is>
          <t>Bài 2. Các số 6, 7, 8, 9, 10</t>
        </is>
      </c>
      <c r="G21" s="3" t="inlineStr">
        <is>
          <t>Điền đáp án</t>
        </is>
      </c>
      <c r="H21" s="14" t="n">
        <v>3</v>
      </c>
      <c r="I21" s="3" t="inlineStr">
        <is>
          <t>Vận dụng</t>
        </is>
      </c>
      <c r="J21" s="3" t="inlineStr">
        <is>
          <t>Đếm tất cả ngón tay trên cả hai bàn tay của em. Có mấy ngón tay?</t>
        </is>
      </c>
      <c r="K21" s="3" t="inlineStr"/>
      <c r="L21" s="3" t="inlineStr">
        <is>
          <t>10 / mười</t>
        </is>
      </c>
      <c r="M21" s="3" t="inlineStr">
        <is>
          <t>Hai bàn tay có 10 ngón tay.</t>
        </is>
      </c>
      <c r="N21" s="3" t="inlineStr">
        <is>
          <t>Giơ hai bàn tay ra, đếm lần lượt từng ngón: 1, 2, 3, 4, 5 ở tay này, rồi 6, 7, 8, 9, 10 ở tay kia. Có 10 ngón tay.</t>
        </is>
      </c>
      <c r="O21" s="14" t="n">
        <v>70</v>
      </c>
      <c r="P21" s="14">
        <f>INDEX(Khung_cap_do!$H$2:$H$6,H21)</f>
        <v/>
      </c>
      <c r="Q21" s="3" t="inlineStr">
        <is>
          <t>T1.SO.01</t>
        </is>
      </c>
      <c r="R21" s="3" t="inlineStr">
        <is>
          <t>TOAN.DEM</t>
        </is>
      </c>
    </row>
    <row r="22">
      <c r="A22" s="3" t="inlineStr">
        <is>
          <t>toan1-kntt-b03-q1</t>
        </is>
      </c>
      <c r="B22" s="3" t="inlineStr">
        <is>
          <t>Toán</t>
        </is>
      </c>
      <c r="C22" s="3" t="inlineStr">
        <is>
          <t>Kết nối tri thức</t>
        </is>
      </c>
      <c r="D22" s="3" t="inlineStr">
        <is>
          <t>Bài 3</t>
        </is>
      </c>
      <c r="E22" s="3" t="inlineStr">
        <is>
          <t>Chủ đề 1. Các số từ 0 đến 10</t>
        </is>
      </c>
      <c r="F22" s="3" t="inlineStr">
        <is>
          <t>Bài 3. Nhiều hơn, ít hơn, bằng nhau</t>
        </is>
      </c>
      <c r="G22" s="3" t="inlineStr">
        <is>
          <t>Chọn đáp án</t>
        </is>
      </c>
      <c r="H22" s="14" t="n">
        <v>1</v>
      </c>
      <c r="I22" s="3" t="inlineStr">
        <is>
          <t>Làm quen</t>
        </is>
      </c>
      <c r="J22" s="3" t="inlineStr">
        <is>
          <t>🐱🐱🐱
🐭🐭🐭🐭🐭
Số mèo ... số chuột</t>
        </is>
      </c>
      <c r="K22" s="3" t="inlineStr">
        <is>
          <t>A. nhiều hơn | B. ít hơn | C. bằng</t>
        </is>
      </c>
      <c r="L22" s="3" t="inlineStr">
        <is>
          <t>B</t>
        </is>
      </c>
      <c r="M22" s="3" t="inlineStr">
        <is>
          <t>Ghép mỗi con mèo với một con chuột thì còn thừa chuột. Số mèo ít hơn số chuột.</t>
        </is>
      </c>
      <c r="N22" s="3" t="inlineStr">
        <is>
          <t>Nối mỗi con mèo với một con chuột: được 3 cặp, còn thừa 2 con chuột chưa có mèo. Nhóm còn thừa là nhóm nhiều hơn. Vậy số mèo ít hơn số chuột.</t>
        </is>
      </c>
      <c r="O22" s="14" t="n">
        <v>30</v>
      </c>
      <c r="P22" s="14">
        <f>INDEX(Khung_cap_do!$H$2:$H$6,H22)</f>
        <v/>
      </c>
      <c r="Q22" s="3" t="inlineStr">
        <is>
          <t>T1.SO.02</t>
        </is>
      </c>
      <c r="R22" s="3" t="inlineStr">
        <is>
          <t>TOAN.SOSANH</t>
        </is>
      </c>
    </row>
    <row r="23">
      <c r="A23" s="3" t="inlineStr">
        <is>
          <t>toan1-kntt-b03-q2</t>
        </is>
      </c>
      <c r="B23" s="3" t="inlineStr">
        <is>
          <t>Toán</t>
        </is>
      </c>
      <c r="C23" s="3" t="inlineStr">
        <is>
          <t>Kết nối tri thức</t>
        </is>
      </c>
      <c r="D23" s="3" t="inlineStr">
        <is>
          <t>Bài 3</t>
        </is>
      </c>
      <c r="E23" s="3" t="inlineStr">
        <is>
          <t>Chủ đề 1. Các số từ 0 đến 10</t>
        </is>
      </c>
      <c r="F23" s="3" t="inlineStr">
        <is>
          <t>Bài 3. Nhiều hơn, ít hơn, bằng nhau</t>
        </is>
      </c>
      <c r="G23" s="3" t="inlineStr">
        <is>
          <t>Chọn đáp án</t>
        </is>
      </c>
      <c r="H23" s="14" t="n">
        <v>1</v>
      </c>
      <c r="I23" s="3" t="inlineStr">
        <is>
          <t>Làm quen</t>
        </is>
      </c>
      <c r="J23" s="3" t="inlineStr">
        <is>
          <t>🍎🍎🍎🍎
🍐🍐🍐🍐
Số táo ... số lê</t>
        </is>
      </c>
      <c r="K23" s="3" t="inlineStr">
        <is>
          <t>A. nhiều hơn | B. ít hơn | C. bằng</t>
        </is>
      </c>
      <c r="L23" s="3" t="inlineStr">
        <is>
          <t>C</t>
        </is>
      </c>
      <c r="M23" s="3" t="inlineStr">
        <is>
          <t>Ghép từng quả táo với từng quả lê thì vừa hết. Hai nhóm bằng nhau.</t>
        </is>
      </c>
      <c r="N23" s="3" t="n"/>
      <c r="O23" s="14" t="n">
        <v>30</v>
      </c>
      <c r="P23" s="14">
        <f>INDEX(Khung_cap_do!$H$2:$H$6,H23)</f>
        <v/>
      </c>
      <c r="Q23" s="3" t="inlineStr">
        <is>
          <t>T1.SO.02</t>
        </is>
      </c>
      <c r="R23" s="3" t="inlineStr">
        <is>
          <t>TOAN.SOSANH</t>
        </is>
      </c>
    </row>
    <row r="24">
      <c r="A24" s="3" t="inlineStr">
        <is>
          <t>toan1-kntt-b03-q3</t>
        </is>
      </c>
      <c r="B24" s="3" t="inlineStr">
        <is>
          <t>Toán</t>
        </is>
      </c>
      <c r="C24" s="3" t="inlineStr">
        <is>
          <t>Kết nối tri thức</t>
        </is>
      </c>
      <c r="D24" s="3" t="inlineStr">
        <is>
          <t>Bài 3</t>
        </is>
      </c>
      <c r="E24" s="3" t="inlineStr">
        <is>
          <t>Chủ đề 1. Các số từ 0 đến 10</t>
        </is>
      </c>
      <c r="F24" s="3" t="inlineStr">
        <is>
          <t>Bài 3. Nhiều hơn, ít hơn, bằng nhau</t>
        </is>
      </c>
      <c r="G24" s="3" t="inlineStr">
        <is>
          <t>Chọn đáp án</t>
        </is>
      </c>
      <c r="H24" s="14" t="n">
        <v>2</v>
      </c>
      <c r="I24" s="3" t="inlineStr">
        <is>
          <t>Cơ bản</t>
        </is>
      </c>
      <c r="J24" s="3" t="inlineStr">
        <is>
          <t>🐶🐶🐶🐶🐶🐶
🦴🦴🦴🦴
Số chó ... số khúc xương</t>
        </is>
      </c>
      <c r="K24" s="3" t="inlineStr">
        <is>
          <t>A. nhiều hơn | B. ít hơn | C. bằng</t>
        </is>
      </c>
      <c r="L24" s="3" t="inlineStr">
        <is>
          <t>A</t>
        </is>
      </c>
      <c r="M24" s="3" t="inlineStr">
        <is>
          <t>Mỗi chú chó lấy một khúc xương thì còn 2 chú chó chưa có. Số chó nhiều hơn.</t>
        </is>
      </c>
      <c r="N24" s="3" t="n"/>
      <c r="O24" s="14" t="n">
        <v>40</v>
      </c>
      <c r="P24" s="14">
        <f>INDEX(Khung_cap_do!$H$2:$H$6,H24)</f>
        <v/>
      </c>
      <c r="Q24" s="3" t="inlineStr">
        <is>
          <t>T1.SO.02</t>
        </is>
      </c>
      <c r="R24" s="3" t="inlineStr">
        <is>
          <t>TOAN.SOSANH</t>
        </is>
      </c>
    </row>
    <row r="25">
      <c r="A25" s="3" t="inlineStr">
        <is>
          <t>toan1-kntt-b03-q4</t>
        </is>
      </c>
      <c r="B25" s="3" t="inlineStr">
        <is>
          <t>Toán</t>
        </is>
      </c>
      <c r="C25" s="3" t="inlineStr">
        <is>
          <t>Kết nối tri thức</t>
        </is>
      </c>
      <c r="D25" s="3" t="inlineStr">
        <is>
          <t>Bài 3</t>
        </is>
      </c>
      <c r="E25" s="3" t="inlineStr">
        <is>
          <t>Chủ đề 1. Các số từ 0 đến 10</t>
        </is>
      </c>
      <c r="F25" s="3" t="inlineStr">
        <is>
          <t>Bài 3. Nhiều hơn, ít hơn, bằng nhau</t>
        </is>
      </c>
      <c r="G25" s="3" t="inlineStr">
        <is>
          <t>Chọn đáp án</t>
        </is>
      </c>
      <c r="H25" s="14" t="n">
        <v>1</v>
      </c>
      <c r="I25" s="3" t="inlineStr">
        <is>
          <t>Làm quen</t>
        </is>
      </c>
      <c r="J25" s="3" t="inlineStr">
        <is>
          <t>Nhóm nào có nhiều ngôi sao hơn?</t>
        </is>
      </c>
      <c r="K25" s="3" t="inlineStr">
        <is>
          <t>A. ⭐⭐⭐⭐⭐ | B. ⭐⭐⭐</t>
        </is>
      </c>
      <c r="L25" s="3" t="inlineStr">
        <is>
          <t>A</t>
        </is>
      </c>
      <c r="M25" s="3" t="inlineStr">
        <is>
          <t>Nhóm 5 ngôi sao nhiều hơn nhóm 3 ngôi sao.</t>
        </is>
      </c>
      <c r="N25" s="3" t="n"/>
      <c r="O25" s="14" t="n">
        <v>30</v>
      </c>
      <c r="P25" s="14">
        <f>INDEX(Khung_cap_do!$H$2:$H$6,H25)</f>
        <v/>
      </c>
      <c r="Q25" s="3" t="inlineStr">
        <is>
          <t>T1.SO.02</t>
        </is>
      </c>
      <c r="R25" s="3" t="inlineStr">
        <is>
          <t>TOAN.SOSANH</t>
        </is>
      </c>
    </row>
    <row r="26">
      <c r="A26" s="3" t="inlineStr">
        <is>
          <t>toan1-kntt-b03-q5</t>
        </is>
      </c>
      <c r="B26" s="3" t="inlineStr">
        <is>
          <t>Toán</t>
        </is>
      </c>
      <c r="C26" s="3" t="inlineStr">
        <is>
          <t>Kết nối tri thức</t>
        </is>
      </c>
      <c r="D26" s="3" t="inlineStr">
        <is>
          <t>Bài 3</t>
        </is>
      </c>
      <c r="E26" s="3" t="inlineStr">
        <is>
          <t>Chủ đề 1. Các số từ 0 đến 10</t>
        </is>
      </c>
      <c r="F26" s="3" t="inlineStr">
        <is>
          <t>Bài 3. Nhiều hơn, ít hơn, bằng nhau</t>
        </is>
      </c>
      <c r="G26" s="3" t="inlineStr">
        <is>
          <t>Chọn nhiều đáp án</t>
        </is>
      </c>
      <c r="H26" s="14" t="n">
        <v>2</v>
      </c>
      <c r="I26" s="3" t="inlineStr">
        <is>
          <t>Cơ bản</t>
        </is>
      </c>
      <c r="J26" s="3" t="inlineStr">
        <is>
          <t>Chọn TẤT CẢ các nhóm có số lượng BẰNG nhóm 🍓🍓🍓</t>
        </is>
      </c>
      <c r="K26" s="3" t="inlineStr">
        <is>
          <t>A. 🍋🍋🍋 | B. 🍇🍇 | C. 🍉🍉🍉 | D. 🍒🍒🍒🍒</t>
        </is>
      </c>
      <c r="L26" s="3" t="inlineStr">
        <is>
          <t>A, C</t>
        </is>
      </c>
      <c r="M26" s="3" t="inlineStr">
        <is>
          <t>Nhóm 3 quả chanh và nhóm 3 miếng dưa hấu đều có 3, bằng nhóm dâu.</t>
        </is>
      </c>
      <c r="N26" s="3" t="n"/>
      <c r="O26" s="14" t="n">
        <v>50</v>
      </c>
      <c r="P26" s="14">
        <f>INDEX(Khung_cap_do!$H$2:$H$6,H26)</f>
        <v/>
      </c>
      <c r="Q26" s="3" t="inlineStr">
        <is>
          <t>T1.SO.02</t>
        </is>
      </c>
      <c r="R26" s="3" t="inlineStr">
        <is>
          <t>TOAN.SOSANH</t>
        </is>
      </c>
    </row>
    <row r="27">
      <c r="A27" s="3" t="inlineStr">
        <is>
          <t>toan1-kntt-b03-q6</t>
        </is>
      </c>
      <c r="B27" s="3" t="inlineStr">
        <is>
          <t>Toán</t>
        </is>
      </c>
      <c r="C27" s="3" t="inlineStr">
        <is>
          <t>Kết nối tri thức</t>
        </is>
      </c>
      <c r="D27" s="3" t="inlineStr">
        <is>
          <t>Bài 3</t>
        </is>
      </c>
      <c r="E27" s="3" t="inlineStr">
        <is>
          <t>Chủ đề 1. Các số từ 0 đến 10</t>
        </is>
      </c>
      <c r="F27" s="3" t="inlineStr">
        <is>
          <t>Bài 3. Nhiều hơn, ít hơn, bằng nhau</t>
        </is>
      </c>
      <c r="G27" s="3" t="inlineStr">
        <is>
          <t>Đúng / Sai</t>
        </is>
      </c>
      <c r="H27" s="14" t="n">
        <v>2</v>
      </c>
      <c r="I27" s="3" t="inlineStr">
        <is>
          <t>Cơ bản</t>
        </is>
      </c>
      <c r="J27" s="3" t="inlineStr">
        <is>
          <t>🐰🐰🐰🐰
🥕🥕🥕🥕🥕🥕
Số thỏ nhiều hơn số cà rốt. Đúng hay sai?</t>
        </is>
      </c>
      <c r="K27" s="3" t="inlineStr">
        <is>
          <t>A. Đúng | B. Sai</t>
        </is>
      </c>
      <c r="L27" s="3" t="inlineStr">
        <is>
          <t>B</t>
        </is>
      </c>
      <c r="M27" s="3" t="inlineStr">
        <is>
          <t>Mỗi chú thỏ một củ thì còn thừa cà rốt. Số thỏ ít hơn.</t>
        </is>
      </c>
      <c r="N27" s="3" t="n"/>
      <c r="O27" s="14" t="n">
        <v>40</v>
      </c>
      <c r="P27" s="14">
        <f>INDEX(Khung_cap_do!$H$2:$H$6,H27)</f>
        <v/>
      </c>
      <c r="Q27" s="3" t="inlineStr">
        <is>
          <t>T1.SO.02</t>
        </is>
      </c>
      <c r="R27" s="3" t="inlineStr">
        <is>
          <t>TOAN.DUNGSAI</t>
        </is>
      </c>
    </row>
    <row r="28">
      <c r="A28" s="3" t="inlineStr">
        <is>
          <t>toan1-kntt-b03-q7</t>
        </is>
      </c>
      <c r="B28" s="3" t="inlineStr">
        <is>
          <t>Toán</t>
        </is>
      </c>
      <c r="C28" s="3" t="inlineStr">
        <is>
          <t>Kết nối tri thức</t>
        </is>
      </c>
      <c r="D28" s="3" t="inlineStr">
        <is>
          <t>Bài 3</t>
        </is>
      </c>
      <c r="E28" s="3" t="inlineStr">
        <is>
          <t>Chủ đề 1. Các số từ 0 đến 10</t>
        </is>
      </c>
      <c r="F28" s="3" t="inlineStr">
        <is>
          <t>Bài 3. Nhiều hơn, ít hơn, bằng nhau</t>
        </is>
      </c>
      <c r="G28" s="3" t="inlineStr">
        <is>
          <t>Chọn đáp án</t>
        </is>
      </c>
      <c r="H28" s="14" t="n">
        <v>3</v>
      </c>
      <c r="I28" s="3" t="inlineStr">
        <is>
          <t>Vận dụng</t>
        </is>
      </c>
      <c r="J28" s="3" t="inlineStr">
        <is>
          <t>Có 5 bạn và 5 cái ghế. Mỗi bạn ngồi 1 ghế thì thế nào?</t>
        </is>
      </c>
      <c r="K28" s="3" t="inlineStr">
        <is>
          <t>A. Thừa ghế | B. Thiếu ghế | C. Vừa đủ</t>
        </is>
      </c>
      <c r="L28" s="3" t="inlineStr">
        <is>
          <t>C</t>
        </is>
      </c>
      <c r="M28" s="3" t="inlineStr">
        <is>
          <t>Số bạn bằng số ghế nên vừa đủ.</t>
        </is>
      </c>
      <c r="N28" s="3" t="inlineStr">
        <is>
          <t>Ghép mỗi bạn với một cái ghế: ghép hết 5 bạn thì cũng vừa hết 5 ghế, không thừa không thiếu. Vậy vừa đủ.</t>
        </is>
      </c>
      <c r="O28" s="14" t="n">
        <v>50</v>
      </c>
      <c r="P28" s="14">
        <f>INDEX(Khung_cap_do!$H$2:$H$6,H28)</f>
        <v/>
      </c>
      <c r="Q28" s="3" t="inlineStr">
        <is>
          <t>T1.SO.02</t>
        </is>
      </c>
      <c r="R28" s="3" t="inlineStr">
        <is>
          <t>TOAN.SOSANH</t>
        </is>
      </c>
    </row>
    <row r="29">
      <c r="A29" s="3" t="inlineStr">
        <is>
          <t>toan1-kntt-b03-q8</t>
        </is>
      </c>
      <c r="B29" s="3" t="inlineStr">
        <is>
          <t>Toán</t>
        </is>
      </c>
      <c r="C29" s="3" t="inlineStr">
        <is>
          <t>Kết nối tri thức</t>
        </is>
      </c>
      <c r="D29" s="3" t="inlineStr">
        <is>
          <t>Bài 3</t>
        </is>
      </c>
      <c r="E29" s="3" t="inlineStr">
        <is>
          <t>Chủ đề 1. Các số từ 0 đến 10</t>
        </is>
      </c>
      <c r="F29" s="3" t="inlineStr">
        <is>
          <t>Bài 3. Nhiều hơn, ít hơn, bằng nhau</t>
        </is>
      </c>
      <c r="G29" s="3" t="inlineStr">
        <is>
          <t>Chọn đáp án</t>
        </is>
      </c>
      <c r="H29" s="14" t="n">
        <v>3</v>
      </c>
      <c r="I29" s="3" t="inlineStr">
        <is>
          <t>Vận dụng</t>
        </is>
      </c>
      <c r="J29" s="3" t="inlineStr">
        <is>
          <t>Có 4 con thỏ và 6 củ cà rốt. Mỗi con thỏ ăn 1 củ thì thế nào?</t>
        </is>
      </c>
      <c r="K29" s="3" t="inlineStr">
        <is>
          <t>A. Thừa cà rốt | B. Thiếu cà rốt | C. Vừa đủ</t>
        </is>
      </c>
      <c r="L29" s="3" t="inlineStr">
        <is>
          <t>A</t>
        </is>
      </c>
      <c r="M29" s="3" t="inlineStr">
        <is>
          <t>Cà rốt nhiều hơn thỏ nên còn thừa cà rốt.</t>
        </is>
      </c>
      <c r="N29" s="3" t="inlineStr">
        <is>
          <t>Cho mỗi con thỏ 1 củ: 4 con thỏ lấy 4 củ. Còn lại 2 củ chưa có thỏ ăn. Vậy thừa cà rốt.</t>
        </is>
      </c>
      <c r="O29" s="14" t="n">
        <v>60</v>
      </c>
      <c r="P29" s="14">
        <f>INDEX(Khung_cap_do!$H$2:$H$6,H29)</f>
        <v/>
      </c>
      <c r="Q29" s="3" t="inlineStr">
        <is>
          <t>T1.SO.02</t>
        </is>
      </c>
      <c r="R29" s="3" t="inlineStr">
        <is>
          <t>TOAN.SOSANH</t>
        </is>
      </c>
    </row>
    <row r="30">
      <c r="A30" s="3" t="inlineStr">
        <is>
          <t>toan1-kntt-b04-q1</t>
        </is>
      </c>
      <c r="B30" s="3" t="inlineStr">
        <is>
          <t>Toán</t>
        </is>
      </c>
      <c r="C30" s="3" t="inlineStr">
        <is>
          <t>Kết nối tri thức</t>
        </is>
      </c>
      <c r="D30" s="3" t="inlineStr">
        <is>
          <t>Bài 4</t>
        </is>
      </c>
      <c r="E30" s="3" t="inlineStr">
        <is>
          <t>Chủ đề 1. Các số từ 0 đến 10</t>
        </is>
      </c>
      <c r="F30" s="3" t="inlineStr">
        <is>
          <t>Bài 4. So sánh số</t>
        </is>
      </c>
      <c r="G30" s="3" t="inlineStr">
        <is>
          <t>Chọn đáp án</t>
        </is>
      </c>
      <c r="H30" s="14" t="n">
        <v>1</v>
      </c>
      <c r="I30" s="3" t="inlineStr">
        <is>
          <t>Làm quen</t>
        </is>
      </c>
      <c r="J30" s="3" t="inlineStr">
        <is>
          <t>Chọn dấu đúng: 5 ... 7</t>
        </is>
      </c>
      <c r="K30" s="3" t="inlineStr">
        <is>
          <t>A. &gt; | B. &lt; | C. =</t>
        </is>
      </c>
      <c r="L30" s="3" t="inlineStr">
        <is>
          <t>B</t>
        </is>
      </c>
      <c r="M30" s="3" t="inlineStr">
        <is>
          <t>5 bé hơn 7 nên viết 5 &lt; 7.</t>
        </is>
      </c>
      <c r="N30" s="3" t="inlineStr">
        <is>
          <t>Khi đếm, 5 đến trước 7 nên 5 bé hơn 7. Dấu bé hơn là "&lt;", đầu nhọn chỉ vào số bé. Ta viết 5 &lt; 7.</t>
        </is>
      </c>
      <c r="O30" s="14" t="n">
        <v>30</v>
      </c>
      <c r="P30" s="14">
        <f>INDEX(Khung_cap_do!$H$2:$H$6,H30)</f>
        <v/>
      </c>
      <c r="Q30" s="3" t="inlineStr">
        <is>
          <t>T1.SO.02</t>
        </is>
      </c>
      <c r="R30" s="3" t="inlineStr">
        <is>
          <t>TOAN.SOSANH</t>
        </is>
      </c>
    </row>
    <row r="31">
      <c r="A31" s="3" t="inlineStr">
        <is>
          <t>toan1-kntt-b04-q2</t>
        </is>
      </c>
      <c r="B31" s="3" t="inlineStr">
        <is>
          <t>Toán</t>
        </is>
      </c>
      <c r="C31" s="3" t="inlineStr">
        <is>
          <t>Kết nối tri thức</t>
        </is>
      </c>
      <c r="D31" s="3" t="inlineStr">
        <is>
          <t>Bài 4</t>
        </is>
      </c>
      <c r="E31" s="3" t="inlineStr">
        <is>
          <t>Chủ đề 1. Các số từ 0 đến 10</t>
        </is>
      </c>
      <c r="F31" s="3" t="inlineStr">
        <is>
          <t>Bài 4. So sánh số</t>
        </is>
      </c>
      <c r="G31" s="3" t="inlineStr">
        <is>
          <t>Chọn đáp án</t>
        </is>
      </c>
      <c r="H31" s="14" t="n">
        <v>1</v>
      </c>
      <c r="I31" s="3" t="inlineStr">
        <is>
          <t>Làm quen</t>
        </is>
      </c>
      <c r="J31" s="3" t="inlineStr">
        <is>
          <t>Chọn dấu đúng: 9 ... 6</t>
        </is>
      </c>
      <c r="K31" s="3" t="inlineStr">
        <is>
          <t>A. &gt; | B. &lt; | C. =</t>
        </is>
      </c>
      <c r="L31" s="3" t="inlineStr">
        <is>
          <t>A</t>
        </is>
      </c>
      <c r="M31" s="3" t="inlineStr">
        <is>
          <t>9 lớn hơn 6 nên viết 9 &gt; 6.</t>
        </is>
      </c>
      <c r="N31" s="3" t="n"/>
      <c r="O31" s="14" t="n">
        <v>30</v>
      </c>
      <c r="P31" s="14">
        <f>INDEX(Khung_cap_do!$H$2:$H$6,H31)</f>
        <v/>
      </c>
      <c r="Q31" s="3" t="inlineStr">
        <is>
          <t>T1.SO.02</t>
        </is>
      </c>
      <c r="R31" s="3" t="inlineStr">
        <is>
          <t>TOAN.SOSANH</t>
        </is>
      </c>
    </row>
    <row r="32">
      <c r="A32" s="3" t="inlineStr">
        <is>
          <t>toan1-kntt-b04-q3</t>
        </is>
      </c>
      <c r="B32" s="3" t="inlineStr">
        <is>
          <t>Toán</t>
        </is>
      </c>
      <c r="C32" s="3" t="inlineStr">
        <is>
          <t>Kết nối tri thức</t>
        </is>
      </c>
      <c r="D32" s="3" t="inlineStr">
        <is>
          <t>Bài 4</t>
        </is>
      </c>
      <c r="E32" s="3" t="inlineStr">
        <is>
          <t>Chủ đề 1. Các số từ 0 đến 10</t>
        </is>
      </c>
      <c r="F32" s="3" t="inlineStr">
        <is>
          <t>Bài 4. So sánh số</t>
        </is>
      </c>
      <c r="G32" s="3" t="inlineStr">
        <is>
          <t>Chọn đáp án</t>
        </is>
      </c>
      <c r="H32" s="14" t="n">
        <v>1</v>
      </c>
      <c r="I32" s="3" t="inlineStr">
        <is>
          <t>Làm quen</t>
        </is>
      </c>
      <c r="J32" s="3" t="inlineStr">
        <is>
          <t>Chọn dấu đúng: 4 ... 4</t>
        </is>
      </c>
      <c r="K32" s="3" t="inlineStr">
        <is>
          <t>A. &gt; | B. &lt; | C. =</t>
        </is>
      </c>
      <c r="L32" s="3" t="inlineStr">
        <is>
          <t>C</t>
        </is>
      </c>
      <c r="M32" s="3" t="inlineStr">
        <is>
          <t>Hai số giống nhau thì bằng nhau: 4 = 4.</t>
        </is>
      </c>
      <c r="N32" s="3" t="n"/>
      <c r="O32" s="14" t="n">
        <v>30</v>
      </c>
      <c r="P32" s="14">
        <f>INDEX(Khung_cap_do!$H$2:$H$6,H32)</f>
        <v/>
      </c>
      <c r="Q32" s="3" t="inlineStr">
        <is>
          <t>T1.SO.02</t>
        </is>
      </c>
      <c r="R32" s="3" t="inlineStr">
        <is>
          <t>TOAN.SOSANH</t>
        </is>
      </c>
    </row>
    <row r="33">
      <c r="A33" s="3" t="inlineStr">
        <is>
          <t>toan1-kntt-b04-q4</t>
        </is>
      </c>
      <c r="B33" s="3" t="inlineStr">
        <is>
          <t>Toán</t>
        </is>
      </c>
      <c r="C33" s="3" t="inlineStr">
        <is>
          <t>Kết nối tri thức</t>
        </is>
      </c>
      <c r="D33" s="3" t="inlineStr">
        <is>
          <t>Bài 4</t>
        </is>
      </c>
      <c r="E33" s="3" t="inlineStr">
        <is>
          <t>Chủ đề 1. Các số từ 0 đến 10</t>
        </is>
      </c>
      <c r="F33" s="3" t="inlineStr">
        <is>
          <t>Bài 4. So sánh số</t>
        </is>
      </c>
      <c r="G33" s="3" t="inlineStr">
        <is>
          <t>Đúng / Sai</t>
        </is>
      </c>
      <c r="H33" s="14" t="n">
        <v>2</v>
      </c>
      <c r="I33" s="3" t="inlineStr">
        <is>
          <t>Cơ bản</t>
        </is>
      </c>
      <c r="J33" s="3" t="inlineStr">
        <is>
          <t>8 &gt; 10. Đúng hay sai?</t>
        </is>
      </c>
      <c r="K33" s="3" t="inlineStr">
        <is>
          <t>A. Đúng | B. Sai</t>
        </is>
      </c>
      <c r="L33" s="3" t="inlineStr">
        <is>
          <t>B</t>
        </is>
      </c>
      <c r="M33" s="3" t="inlineStr">
        <is>
          <t>8 bé hơn 10, nên phải viết 8 &lt; 10.</t>
        </is>
      </c>
      <c r="N33" s="3" t="n"/>
      <c r="O33" s="14" t="n">
        <v>40</v>
      </c>
      <c r="P33" s="14">
        <f>INDEX(Khung_cap_do!$H$2:$H$6,H33)</f>
        <v/>
      </c>
      <c r="Q33" s="3" t="inlineStr">
        <is>
          <t>T1.SO.02</t>
        </is>
      </c>
      <c r="R33" s="3" t="inlineStr">
        <is>
          <t>TOAN.DUNGSAI</t>
        </is>
      </c>
    </row>
    <row r="34">
      <c r="A34" s="3" t="inlineStr">
        <is>
          <t>toan1-kntt-b04-q5</t>
        </is>
      </c>
      <c r="B34" s="3" t="inlineStr">
        <is>
          <t>Toán</t>
        </is>
      </c>
      <c r="C34" s="3" t="inlineStr">
        <is>
          <t>Kết nối tri thức</t>
        </is>
      </c>
      <c r="D34" s="3" t="inlineStr">
        <is>
          <t>Bài 4</t>
        </is>
      </c>
      <c r="E34" s="3" t="inlineStr">
        <is>
          <t>Chủ đề 1. Các số từ 0 đến 10</t>
        </is>
      </c>
      <c r="F34" s="3" t="inlineStr">
        <is>
          <t>Bài 4. So sánh số</t>
        </is>
      </c>
      <c r="G34" s="3" t="inlineStr">
        <is>
          <t>Chọn đáp án</t>
        </is>
      </c>
      <c r="H34" s="14" t="n">
        <v>2</v>
      </c>
      <c r="I34" s="3" t="inlineStr">
        <is>
          <t>Cơ bản</t>
        </is>
      </c>
      <c r="J34" s="3" t="inlineStr">
        <is>
          <t>Số lớn nhất trong các số 3, 8, 5, 6 là số nào?</t>
        </is>
      </c>
      <c r="K34" s="3" t="inlineStr">
        <is>
          <t>A. 3 | B. 8 | C. 5 | D. 6</t>
        </is>
      </c>
      <c r="L34" s="3" t="inlineStr">
        <is>
          <t>B</t>
        </is>
      </c>
      <c r="M34" s="3" t="inlineStr">
        <is>
          <t>Trong 3, 5, 6, 8 thì 8 đến sau cùng khi đếm, nên 8 lớn nhất.</t>
        </is>
      </c>
      <c r="N34" s="3" t="n"/>
      <c r="O34" s="14" t="n">
        <v>40</v>
      </c>
      <c r="P34" s="14">
        <f>INDEX(Khung_cap_do!$H$2:$H$6,H34)</f>
        <v/>
      </c>
      <c r="Q34" s="3" t="inlineStr">
        <is>
          <t>T1.SO.02</t>
        </is>
      </c>
      <c r="R34" s="3" t="inlineStr">
        <is>
          <t>TOAN.SOSANH</t>
        </is>
      </c>
    </row>
    <row r="35">
      <c r="A35" s="3" t="inlineStr">
        <is>
          <t>toan1-kntt-b04-q6</t>
        </is>
      </c>
      <c r="B35" s="3" t="inlineStr">
        <is>
          <t>Toán</t>
        </is>
      </c>
      <c r="C35" s="3" t="inlineStr">
        <is>
          <t>Kết nối tri thức</t>
        </is>
      </c>
      <c r="D35" s="3" t="inlineStr">
        <is>
          <t>Bài 4</t>
        </is>
      </c>
      <c r="E35" s="3" t="inlineStr">
        <is>
          <t>Chủ đề 1. Các số từ 0 đến 10</t>
        </is>
      </c>
      <c r="F35" s="3" t="inlineStr">
        <is>
          <t>Bài 4. So sánh số</t>
        </is>
      </c>
      <c r="G35" s="3" t="inlineStr">
        <is>
          <t>Điền đáp án</t>
        </is>
      </c>
      <c r="H35" s="14" t="n">
        <v>2</v>
      </c>
      <c r="I35" s="3" t="inlineStr">
        <is>
          <t>Cơ bản</t>
        </is>
      </c>
      <c r="J35" s="3" t="inlineStr">
        <is>
          <t>Số bé nhất trong các số 7, 2, 9, 4 là số mấy?</t>
        </is>
      </c>
      <c r="K35" s="3" t="inlineStr"/>
      <c r="L35" s="3" t="inlineStr">
        <is>
          <t>2 / hai</t>
        </is>
      </c>
      <c r="M35" s="3" t="inlineStr">
        <is>
          <t>2 đến trước 4, 7, 9 khi đếm nên 2 bé nhất.</t>
        </is>
      </c>
      <c r="N35" s="3" t="n"/>
      <c r="O35" s="14" t="n">
        <v>50</v>
      </c>
      <c r="P35" s="14">
        <f>INDEX(Khung_cap_do!$H$2:$H$6,H35)</f>
        <v/>
      </c>
      <c r="Q35" s="3" t="inlineStr">
        <is>
          <t>T1.SO.02</t>
        </is>
      </c>
      <c r="R35" s="3" t="inlineStr">
        <is>
          <t>TOAN.SOSANH</t>
        </is>
      </c>
    </row>
    <row r="36">
      <c r="A36" s="3" t="inlineStr">
        <is>
          <t>toan1-kntt-b04-q7</t>
        </is>
      </c>
      <c r="B36" s="3" t="inlineStr">
        <is>
          <t>Toán</t>
        </is>
      </c>
      <c r="C36" s="3" t="inlineStr">
        <is>
          <t>Kết nối tri thức</t>
        </is>
      </c>
      <c r="D36" s="3" t="inlineStr">
        <is>
          <t>Bài 4</t>
        </is>
      </c>
      <c r="E36" s="3" t="inlineStr">
        <is>
          <t>Chủ đề 1. Các số từ 0 đến 10</t>
        </is>
      </c>
      <c r="F36" s="3" t="inlineStr">
        <is>
          <t>Bài 4. So sánh số</t>
        </is>
      </c>
      <c r="G36" s="3" t="inlineStr">
        <is>
          <t>Sắp xếp</t>
        </is>
      </c>
      <c r="H36" s="14" t="n">
        <v>2</v>
      </c>
      <c r="I36" s="3" t="inlineStr">
        <is>
          <t>Cơ bản</t>
        </is>
      </c>
      <c r="J36" s="3" t="inlineStr">
        <is>
          <t>Xếp các số từ LỚN đến BÉ</t>
        </is>
      </c>
      <c r="K36" s="3" t="inlineStr">
        <is>
          <t>1 / 4 / 6 / 9</t>
        </is>
      </c>
      <c r="L36" s="3" t="inlineStr">
        <is>
          <t>9 → 6 → 4 → 1</t>
        </is>
      </c>
      <c r="M36" s="3" t="inlineStr">
        <is>
          <t>Từ lớn đến bé: 9, 6, 4, 1.</t>
        </is>
      </c>
      <c r="N36" s="3" t="inlineStr">
        <is>
          <t>Tìm số lớn nhất trước: 9. Còn lại 6, 4, 1 thì 6 lớn nhất. Tiếp theo là 4, cuối cùng là 1.</t>
        </is>
      </c>
      <c r="O36" s="14" t="n">
        <v>55</v>
      </c>
      <c r="P36" s="14">
        <f>INDEX(Khung_cap_do!$H$2:$H$6,H36)</f>
        <v/>
      </c>
      <c r="Q36" s="3" t="inlineStr">
        <is>
          <t>T1.SO.02</t>
        </is>
      </c>
      <c r="R36" s="3" t="inlineStr">
        <is>
          <t>TOAN.SAPXEP</t>
        </is>
      </c>
    </row>
    <row r="37">
      <c r="A37" s="3" t="inlineStr">
        <is>
          <t>toan1-kntt-b04-q8</t>
        </is>
      </c>
      <c r="B37" s="3" t="inlineStr">
        <is>
          <t>Toán</t>
        </is>
      </c>
      <c r="C37" s="3" t="inlineStr">
        <is>
          <t>Kết nối tri thức</t>
        </is>
      </c>
      <c r="D37" s="3" t="inlineStr">
        <is>
          <t>Bài 4</t>
        </is>
      </c>
      <c r="E37" s="3" t="inlineStr">
        <is>
          <t>Chủ đề 1. Các số từ 0 đến 10</t>
        </is>
      </c>
      <c r="F37" s="3" t="inlineStr">
        <is>
          <t>Bài 4. So sánh số</t>
        </is>
      </c>
      <c r="G37" s="3" t="inlineStr">
        <is>
          <t>Chọn nhiều đáp án</t>
        </is>
      </c>
      <c r="H37" s="14" t="n">
        <v>2</v>
      </c>
      <c r="I37" s="3" t="inlineStr">
        <is>
          <t>Cơ bản</t>
        </is>
      </c>
      <c r="J37" s="3" t="inlineStr">
        <is>
          <t>Chọn TẤT CẢ các số lớn hơn 5</t>
        </is>
      </c>
      <c r="K37" s="3" t="inlineStr">
        <is>
          <t>A. 3 | B. 6 | C. 8 | D. 5 | E. 10</t>
        </is>
      </c>
      <c r="L37" s="3" t="inlineStr">
        <is>
          <t>B, C, E</t>
        </is>
      </c>
      <c r="M37" s="3" t="inlineStr">
        <is>
          <t>6, 8, 10 đều lớn hơn 5. Số 5 bằng 5, không lớn hơn.</t>
        </is>
      </c>
      <c r="N37" s="3" t="n"/>
      <c r="O37" s="14" t="n">
        <v>50</v>
      </c>
      <c r="P37" s="14">
        <f>INDEX(Khung_cap_do!$H$2:$H$6,H37)</f>
        <v/>
      </c>
      <c r="Q37" s="3" t="inlineStr">
        <is>
          <t>T1.SO.02</t>
        </is>
      </c>
      <c r="R37" s="3" t="inlineStr">
        <is>
          <t>TOAN.SOSANH</t>
        </is>
      </c>
    </row>
    <row r="38">
      <c r="A38" s="3" t="inlineStr">
        <is>
          <t>toan1-kntt-b04-q9</t>
        </is>
      </c>
      <c r="B38" s="3" t="inlineStr">
        <is>
          <t>Toán</t>
        </is>
      </c>
      <c r="C38" s="3" t="inlineStr">
        <is>
          <t>Kết nối tri thức</t>
        </is>
      </c>
      <c r="D38" s="3" t="inlineStr">
        <is>
          <t>Bài 4</t>
        </is>
      </c>
      <c r="E38" s="3" t="inlineStr">
        <is>
          <t>Chủ đề 1. Các số từ 0 đến 10</t>
        </is>
      </c>
      <c r="F38" s="3" t="inlineStr">
        <is>
          <t>Bài 4. So sánh số</t>
        </is>
      </c>
      <c r="G38" s="3" t="inlineStr">
        <is>
          <t>Chọn đáp án</t>
        </is>
      </c>
      <c r="H38" s="14" t="n">
        <v>3</v>
      </c>
      <c r="I38" s="3" t="inlineStr">
        <is>
          <t>Vận dụng</t>
        </is>
      </c>
      <c r="J38" s="3" t="inlineStr">
        <is>
          <t>Lan có 6 bông hoa, Hà có 8 bông hoa. Bạn nào có nhiều hoa hơn?</t>
        </is>
      </c>
      <c r="K38" s="3" t="inlineStr">
        <is>
          <t>A. Lan | B. Hà</t>
        </is>
      </c>
      <c r="L38" s="3" t="inlineStr">
        <is>
          <t>B</t>
        </is>
      </c>
      <c r="M38" s="3" t="inlineStr">
        <is>
          <t>8 lớn hơn 6 nên Hà có nhiều hoa hơn.</t>
        </is>
      </c>
      <c r="N38" s="3" t="inlineStr">
        <is>
          <t>So sánh 6 và 8: đếm 6, 7, 8 thì số 8 đến sau nên 8 lớn hơn 6. Hà có 8 bông nên Hà có nhiều hoa hơn.</t>
        </is>
      </c>
      <c r="O38" s="14" t="n">
        <v>60</v>
      </c>
      <c r="P38" s="14">
        <f>INDEX(Khung_cap_do!$H$2:$H$6,H38)</f>
        <v/>
      </c>
      <c r="Q38" s="3" t="inlineStr">
        <is>
          <t>T1.SO.02</t>
        </is>
      </c>
      <c r="R38" s="3" t="inlineStr">
        <is>
          <t>TOAN.SOSANH</t>
        </is>
      </c>
    </row>
    <row r="39">
      <c r="A39" s="3" t="inlineStr">
        <is>
          <t>toan1-kntt-b04-q10</t>
        </is>
      </c>
      <c r="B39" s="3" t="inlineStr">
        <is>
          <t>Toán</t>
        </is>
      </c>
      <c r="C39" s="3" t="inlineStr">
        <is>
          <t>Kết nối tri thức</t>
        </is>
      </c>
      <c r="D39" s="3" t="inlineStr">
        <is>
          <t>Bài 4</t>
        </is>
      </c>
      <c r="E39" s="3" t="inlineStr">
        <is>
          <t>Chủ đề 1. Các số từ 0 đến 10</t>
        </is>
      </c>
      <c r="F39" s="3" t="inlineStr">
        <is>
          <t>Bài 4. So sánh số</t>
        </is>
      </c>
      <c r="G39" s="3" t="inlineStr">
        <is>
          <t>Điền đáp án</t>
        </is>
      </c>
      <c r="H39" s="14" t="n">
        <v>3</v>
      </c>
      <c r="I39" s="3" t="inlineStr">
        <is>
          <t>Vận dụng</t>
        </is>
      </c>
      <c r="J39" s="3" t="inlineStr">
        <is>
          <t>Điền số: 7 &lt; ... &lt; 9</t>
        </is>
      </c>
      <c r="K39" s="3" t="inlineStr"/>
      <c r="L39" s="3" t="inlineStr">
        <is>
          <t>8</t>
        </is>
      </c>
      <c r="M39" s="3" t="inlineStr">
        <is>
          <t>Số lớn hơn 7 và bé hơn 9 là 8.</t>
        </is>
      </c>
      <c r="N39" s="3" t="inlineStr">
        <is>
          <t>Cần một số đứng sau 7 và đứng trước 9 khi đếm: 7, 8, 9. Số đó là 8.</t>
        </is>
      </c>
      <c r="O39" s="14" t="n">
        <v>60</v>
      </c>
      <c r="P39" s="14">
        <f>INDEX(Khung_cap_do!$H$2:$H$6,H39)</f>
        <v/>
      </c>
      <c r="Q39" s="3" t="inlineStr">
        <is>
          <t>T1.SO.02</t>
        </is>
      </c>
      <c r="R39" s="3" t="inlineStr">
        <is>
          <t>TOAN.SOTHIEU</t>
        </is>
      </c>
    </row>
    <row r="40">
      <c r="A40" s="3" t="inlineStr">
        <is>
          <t>toan1-kntt-b05-q1</t>
        </is>
      </c>
      <c r="B40" s="3" t="inlineStr">
        <is>
          <t>Toán</t>
        </is>
      </c>
      <c r="C40" s="3" t="inlineStr">
        <is>
          <t>Kết nối tri thức</t>
        </is>
      </c>
      <c r="D40" s="3" t="inlineStr">
        <is>
          <t>Bài 5</t>
        </is>
      </c>
      <c r="E40" s="3" t="inlineStr">
        <is>
          <t>Chủ đề 1. Các số từ 0 đến 10</t>
        </is>
      </c>
      <c r="F40" s="3" t="inlineStr">
        <is>
          <t>Bài 5. Mấy và mấy</t>
        </is>
      </c>
      <c r="G40" s="3" t="inlineStr">
        <is>
          <t>Điền đáp án</t>
        </is>
      </c>
      <c r="H40" s="14" t="n">
        <v>1</v>
      </c>
      <c r="I40" s="3" t="inlineStr">
        <is>
          <t>Làm quen</t>
        </is>
      </c>
      <c r="J40" s="3" t="inlineStr">
        <is>
          <t>5 gồm 2 và mấy?</t>
        </is>
      </c>
      <c r="K40" s="3" t="inlineStr"/>
      <c r="L40" s="3" t="inlineStr">
        <is>
          <t>3 / ba</t>
        </is>
      </c>
      <c r="M40" s="3" t="inlineStr">
        <is>
          <t>5 gồm 2 và 3.</t>
        </is>
      </c>
      <c r="N40" s="3" t="n"/>
      <c r="O40" s="14" t="n">
        <v>40</v>
      </c>
      <c r="P40" s="14">
        <f>INDEX(Khung_cap_do!$H$2:$H$6,H40)</f>
        <v/>
      </c>
      <c r="Q40" s="3" t="inlineStr">
        <is>
          <t>T1.PT.01</t>
        </is>
      </c>
      <c r="R40" s="3" t="inlineStr">
        <is>
          <t>TOAN.SOTHIEU</t>
        </is>
      </c>
    </row>
    <row r="41">
      <c r="A41" s="3" t="inlineStr">
        <is>
          <t>toan1-kntt-b05-q2</t>
        </is>
      </c>
      <c r="B41" s="3" t="inlineStr">
        <is>
          <t>Toán</t>
        </is>
      </c>
      <c r="C41" s="3" t="inlineStr">
        <is>
          <t>Kết nối tri thức</t>
        </is>
      </c>
      <c r="D41" s="3" t="inlineStr">
        <is>
          <t>Bài 5</t>
        </is>
      </c>
      <c r="E41" s="3" t="inlineStr">
        <is>
          <t>Chủ đề 1. Các số từ 0 đến 10</t>
        </is>
      </c>
      <c r="F41" s="3" t="inlineStr">
        <is>
          <t>Bài 5. Mấy và mấy</t>
        </is>
      </c>
      <c r="G41" s="3" t="inlineStr">
        <is>
          <t>Điền đáp án</t>
        </is>
      </c>
      <c r="H41" s="14" t="n">
        <v>2</v>
      </c>
      <c r="I41" s="3" t="inlineStr">
        <is>
          <t>Cơ bản</t>
        </is>
      </c>
      <c r="J41" s="3" t="inlineStr">
        <is>
          <t>7 gồm 4 và mấy?</t>
        </is>
      </c>
      <c r="K41" s="3" t="inlineStr"/>
      <c r="L41" s="3" t="inlineStr">
        <is>
          <t>3 / ba</t>
        </is>
      </c>
      <c r="M41" s="3" t="inlineStr">
        <is>
          <t>7 gồm 4 và 3.</t>
        </is>
      </c>
      <c r="N41" s="3" t="inlineStr">
        <is>
          <t>Giơ 7 ngón tay, gập lại 4 ngón. Còn 3 ngón đang giơ. Vậy 7 gồm 4 và 3.</t>
        </is>
      </c>
      <c r="O41" s="14" t="n">
        <v>50</v>
      </c>
      <c r="P41" s="14">
        <f>INDEX(Khung_cap_do!$H$2:$H$6,H41)</f>
        <v/>
      </c>
      <c r="Q41" s="3" t="inlineStr">
        <is>
          <t>T1.PT.01</t>
        </is>
      </c>
      <c r="R41" s="3" t="inlineStr">
        <is>
          <t>TOAN.SOTHIEU</t>
        </is>
      </c>
    </row>
    <row r="42">
      <c r="A42" s="3" t="inlineStr">
        <is>
          <t>toan1-kntt-b05-q3</t>
        </is>
      </c>
      <c r="B42" s="3" t="inlineStr">
        <is>
          <t>Toán</t>
        </is>
      </c>
      <c r="C42" s="3" t="inlineStr">
        <is>
          <t>Kết nối tri thức</t>
        </is>
      </c>
      <c r="D42" s="3" t="inlineStr">
        <is>
          <t>Bài 5</t>
        </is>
      </c>
      <c r="E42" s="3" t="inlineStr">
        <is>
          <t>Chủ đề 1. Các số từ 0 đến 10</t>
        </is>
      </c>
      <c r="F42" s="3" t="inlineStr">
        <is>
          <t>Bài 5. Mấy và mấy</t>
        </is>
      </c>
      <c r="G42" s="3" t="inlineStr">
        <is>
          <t>Chọn đáp án</t>
        </is>
      </c>
      <c r="H42" s="14" t="n">
        <v>2</v>
      </c>
      <c r="I42" s="3" t="inlineStr">
        <is>
          <t>Cơ bản</t>
        </is>
      </c>
      <c r="J42" s="3" t="inlineStr">
        <is>
          <t>8 gồm 5 và mấy?</t>
        </is>
      </c>
      <c r="K42" s="3" t="inlineStr">
        <is>
          <t>A. 2 | B. 3 | C. 4</t>
        </is>
      </c>
      <c r="L42" s="3" t="inlineStr">
        <is>
          <t>B</t>
        </is>
      </c>
      <c r="M42" s="3" t="inlineStr">
        <is>
          <t>8 gồm 5 và 3.</t>
        </is>
      </c>
      <c r="N42" s="3" t="n"/>
      <c r="O42" s="14" t="n">
        <v>40</v>
      </c>
      <c r="P42" s="14">
        <f>INDEX(Khung_cap_do!$H$2:$H$6,H42)</f>
        <v/>
      </c>
      <c r="Q42" s="3" t="inlineStr">
        <is>
          <t>T1.PT.01</t>
        </is>
      </c>
      <c r="R42" s="3" t="inlineStr">
        <is>
          <t>TOAN.SOTHIEU</t>
        </is>
      </c>
    </row>
    <row r="43">
      <c r="A43" s="3" t="inlineStr">
        <is>
          <t>toan1-kntt-b05-q4</t>
        </is>
      </c>
      <c r="B43" s="3" t="inlineStr">
        <is>
          <t>Toán</t>
        </is>
      </c>
      <c r="C43" s="3" t="inlineStr">
        <is>
          <t>Kết nối tri thức</t>
        </is>
      </c>
      <c r="D43" s="3" t="inlineStr">
        <is>
          <t>Bài 5</t>
        </is>
      </c>
      <c r="E43" s="3" t="inlineStr">
        <is>
          <t>Chủ đề 1. Các số từ 0 đến 10</t>
        </is>
      </c>
      <c r="F43" s="3" t="inlineStr">
        <is>
          <t>Bài 5. Mấy và mấy</t>
        </is>
      </c>
      <c r="G43" s="3" t="inlineStr">
        <is>
          <t>Chọn đáp án</t>
        </is>
      </c>
      <c r="H43" s="14" t="n">
        <v>1</v>
      </c>
      <c r="I43" s="3" t="inlineStr">
        <is>
          <t>Làm quen</t>
        </is>
      </c>
      <c r="J43" s="3" t="inlineStr">
        <is>
          <t>🍎🍎 và 🍎🍎🍎🍎🍎
Gộp lại có mấy quả táo?</t>
        </is>
      </c>
      <c r="K43" s="3" t="inlineStr">
        <is>
          <t>A. 6 | B. 7 | C. 8</t>
        </is>
      </c>
      <c r="L43" s="3" t="inlineStr">
        <is>
          <t>B</t>
        </is>
      </c>
      <c r="M43" s="3" t="inlineStr">
        <is>
          <t>2 quả và 5 quả, đếm tất cả được 7 quả.</t>
        </is>
      </c>
      <c r="N43" s="3" t="n"/>
      <c r="O43" s="14" t="n">
        <v>30</v>
      </c>
      <c r="P43" s="14">
        <f>INDEX(Khung_cap_do!$H$2:$H$6,H43)</f>
        <v/>
      </c>
      <c r="Q43" s="3" t="inlineStr">
        <is>
          <t>T1.PT.01</t>
        </is>
      </c>
      <c r="R43" s="3" t="inlineStr">
        <is>
          <t>TOAN.DEM</t>
        </is>
      </c>
    </row>
    <row r="44">
      <c r="A44" s="3" t="inlineStr">
        <is>
          <t>toan1-kntt-b05-q5</t>
        </is>
      </c>
      <c r="B44" s="3" t="inlineStr">
        <is>
          <t>Toán</t>
        </is>
      </c>
      <c r="C44" s="3" t="inlineStr">
        <is>
          <t>Kết nối tri thức</t>
        </is>
      </c>
      <c r="D44" s="3" t="inlineStr">
        <is>
          <t>Bài 5</t>
        </is>
      </c>
      <c r="E44" s="3" t="inlineStr">
        <is>
          <t>Chủ đề 1. Các số từ 0 đến 10</t>
        </is>
      </c>
      <c r="F44" s="3" t="inlineStr">
        <is>
          <t>Bài 5. Mấy và mấy</t>
        </is>
      </c>
      <c r="G44" s="3" t="inlineStr">
        <is>
          <t>Ghép cặp</t>
        </is>
      </c>
      <c r="H44" s="14" t="n">
        <v>2</v>
      </c>
      <c r="I44" s="3" t="inlineStr">
        <is>
          <t>Cơ bản</t>
        </is>
      </c>
      <c r="J44" s="3" t="inlineStr">
        <is>
          <t>Ghép hai phần để được số 6</t>
        </is>
      </c>
      <c r="K44" s="3" t="inlineStr">
        <is>
          <t>1 và ↔ ? / 2 và ↔ ? / 3 và ↔ ?</t>
        </is>
      </c>
      <c r="L44" s="3" t="inlineStr">
        <is>
          <t>1 và – 5; 2 và – 4; 3 và – 3</t>
        </is>
      </c>
      <c r="M44" s="3" t="inlineStr">
        <is>
          <t>6 gồm 1 và 5, 2 và 4, 3 và 3.</t>
        </is>
      </c>
      <c r="N44" s="3" t="n"/>
      <c r="O44" s="14" t="n">
        <v>55</v>
      </c>
      <c r="P44" s="14">
        <f>INDEX(Khung_cap_do!$H$2:$H$6,H44)</f>
        <v/>
      </c>
      <c r="Q44" s="3" t="inlineStr">
        <is>
          <t>T1.PT.01</t>
        </is>
      </c>
      <c r="R44" s="3" t="inlineStr">
        <is>
          <t>TOAN.SOTHIEU</t>
        </is>
      </c>
    </row>
    <row r="45">
      <c r="A45" s="3" t="inlineStr">
        <is>
          <t>toan1-kntt-b05-q6</t>
        </is>
      </c>
      <c r="B45" s="3" t="inlineStr">
        <is>
          <t>Toán</t>
        </is>
      </c>
      <c r="C45" s="3" t="inlineStr">
        <is>
          <t>Kết nối tri thức</t>
        </is>
      </c>
      <c r="D45" s="3" t="inlineStr">
        <is>
          <t>Bài 5</t>
        </is>
      </c>
      <c r="E45" s="3" t="inlineStr">
        <is>
          <t>Chủ đề 1. Các số từ 0 đến 10</t>
        </is>
      </c>
      <c r="F45" s="3" t="inlineStr">
        <is>
          <t>Bài 5. Mấy và mấy</t>
        </is>
      </c>
      <c r="G45" s="3" t="inlineStr">
        <is>
          <t>Đúng / Sai</t>
        </is>
      </c>
      <c r="H45" s="14" t="n">
        <v>2</v>
      </c>
      <c r="I45" s="3" t="inlineStr">
        <is>
          <t>Cơ bản</t>
        </is>
      </c>
      <c r="J45" s="3" t="inlineStr">
        <is>
          <t>10 gồm 6 và 4. Đúng hay sai?</t>
        </is>
      </c>
      <c r="K45" s="3" t="inlineStr">
        <is>
          <t>A. Đúng | B. Sai</t>
        </is>
      </c>
      <c r="L45" s="3" t="inlineStr">
        <is>
          <t>A</t>
        </is>
      </c>
      <c r="M45" s="3" t="inlineStr">
        <is>
          <t>Đếm 6 rồi đếm thêm 4: 7, 8, 9, 10. Đúng.</t>
        </is>
      </c>
      <c r="N45" s="3" t="n"/>
      <c r="O45" s="14" t="n">
        <v>40</v>
      </c>
      <c r="P45" s="14">
        <f>INDEX(Khung_cap_do!$H$2:$H$6,H45)</f>
        <v/>
      </c>
      <c r="Q45" s="3" t="inlineStr">
        <is>
          <t>T1.PT.01</t>
        </is>
      </c>
      <c r="R45" s="3" t="inlineStr">
        <is>
          <t>TOAN.DUNGSAI</t>
        </is>
      </c>
    </row>
    <row r="46">
      <c r="A46" s="3" t="inlineStr">
        <is>
          <t>toan1-kntt-b05-q7</t>
        </is>
      </c>
      <c r="B46" s="3" t="inlineStr">
        <is>
          <t>Toán</t>
        </is>
      </c>
      <c r="C46" s="3" t="inlineStr">
        <is>
          <t>Kết nối tri thức</t>
        </is>
      </c>
      <c r="D46" s="3" t="inlineStr">
        <is>
          <t>Bài 5</t>
        </is>
      </c>
      <c r="E46" s="3" t="inlineStr">
        <is>
          <t>Chủ đề 1. Các số từ 0 đến 10</t>
        </is>
      </c>
      <c r="F46" s="3" t="inlineStr">
        <is>
          <t>Bài 5. Mấy và mấy</t>
        </is>
      </c>
      <c r="G46" s="3" t="inlineStr">
        <is>
          <t>Chọn đáp án</t>
        </is>
      </c>
      <c r="H46" s="14" t="n">
        <v>2</v>
      </c>
      <c r="I46" s="3" t="inlineStr">
        <is>
          <t>Cơ bản</t>
        </is>
      </c>
      <c r="J46" s="3" t="inlineStr">
        <is>
          <t>Số nào gồm 3 và 3?</t>
        </is>
      </c>
      <c r="K46" s="3" t="inlineStr">
        <is>
          <t>A. 5 | B. 6 | C. 7</t>
        </is>
      </c>
      <c r="L46" s="3" t="inlineStr">
        <is>
          <t>B</t>
        </is>
      </c>
      <c r="M46" s="3" t="inlineStr">
        <is>
          <t>3 và 3 gộp lại là 6.</t>
        </is>
      </c>
      <c r="N46" s="3" t="n"/>
      <c r="O46" s="14" t="n">
        <v>40</v>
      </c>
      <c r="P46" s="14">
        <f>INDEX(Khung_cap_do!$H$2:$H$6,H46)</f>
        <v/>
      </c>
      <c r="Q46" s="3" t="inlineStr">
        <is>
          <t>T1.PT.01</t>
        </is>
      </c>
      <c r="R46" s="3" t="inlineStr">
        <is>
          <t>TOAN.SOTHIEU</t>
        </is>
      </c>
    </row>
    <row r="47">
      <c r="A47" s="3" t="inlineStr">
        <is>
          <t>toan1-kntt-b05-q8</t>
        </is>
      </c>
      <c r="B47" s="3" t="inlineStr">
        <is>
          <t>Toán</t>
        </is>
      </c>
      <c r="C47" s="3" t="inlineStr">
        <is>
          <t>Kết nối tri thức</t>
        </is>
      </c>
      <c r="D47" s="3" t="inlineStr">
        <is>
          <t>Bài 5</t>
        </is>
      </c>
      <c r="E47" s="3" t="inlineStr">
        <is>
          <t>Chủ đề 1. Các số từ 0 đến 10</t>
        </is>
      </c>
      <c r="F47" s="3" t="inlineStr">
        <is>
          <t>Bài 5. Mấy và mấy</t>
        </is>
      </c>
      <c r="G47" s="3" t="inlineStr">
        <is>
          <t>Điền đáp án</t>
        </is>
      </c>
      <c r="H47" s="14" t="n">
        <v>3</v>
      </c>
      <c r="I47" s="3" t="inlineStr">
        <is>
          <t>Vận dụng</t>
        </is>
      </c>
      <c r="J47" s="3" t="inlineStr">
        <is>
          <t>Có 9 cái bút chia vào 2 hộp. Hộp thứ nhất có 4 cái. Hộp thứ hai có mấy cái?</t>
        </is>
      </c>
      <c r="K47" s="3" t="inlineStr"/>
      <c r="L47" s="3" t="inlineStr">
        <is>
          <t>5 / năm</t>
        </is>
      </c>
      <c r="M47" s="3" t="inlineStr">
        <is>
          <t>9 gồm 4 và 5, nên hộp thứ hai có 5 cái.</t>
        </is>
      </c>
      <c r="N47" s="3" t="inlineStr">
        <is>
          <t>Tất cả có 9 cái bút. Hộp thứ nhất giữ 4 cái. Đếm tiếp từ 4 đến 9: 5, 6, 7, 8, 9 là 5 lần. Vậy hộp thứ hai có 5 cái bút.</t>
        </is>
      </c>
      <c r="O47" s="14" t="n">
        <v>70</v>
      </c>
      <c r="P47" s="14">
        <f>INDEX(Khung_cap_do!$H$2:$H$6,H47)</f>
        <v/>
      </c>
      <c r="Q47" s="3" t="inlineStr">
        <is>
          <t>T1.PT.03</t>
        </is>
      </c>
      <c r="R47" s="3" t="inlineStr">
        <is>
          <t>TOAN.LOIVAN</t>
        </is>
      </c>
    </row>
    <row r="48">
      <c r="A48" s="3" t="inlineStr">
        <is>
          <t>toan1-kntt-b06-q1</t>
        </is>
      </c>
      <c r="B48" s="3" t="inlineStr">
        <is>
          <t>Toán</t>
        </is>
      </c>
      <c r="C48" s="3" t="inlineStr">
        <is>
          <t>Kết nối tri thức</t>
        </is>
      </c>
      <c r="D48" s="3" t="inlineStr">
        <is>
          <t>Bài 6</t>
        </is>
      </c>
      <c r="E48" s="3" t="inlineStr">
        <is>
          <t>Chủ đề 1. Các số từ 0 đến 10</t>
        </is>
      </c>
      <c r="F48" s="3" t="inlineStr">
        <is>
          <t>Bài 6. Luyện tập chung</t>
        </is>
      </c>
      <c r="G48" s="3" t="inlineStr">
        <is>
          <t>Chọn đáp án</t>
        </is>
      </c>
      <c r="H48" s="14" t="n">
        <v>1</v>
      </c>
      <c r="I48" s="3" t="inlineStr">
        <is>
          <t>Làm quen</t>
        </is>
      </c>
      <c r="J48" s="3" t="inlineStr">
        <is>
          <t>🚗🚗🚗🚗🚗🚗🚗🚗🚗
Có mấy chiếc ô tô?</t>
        </is>
      </c>
      <c r="K48" s="3" t="inlineStr">
        <is>
          <t>A. 8 | B. 9 | C. 10</t>
        </is>
      </c>
      <c r="L48" s="3" t="inlineStr">
        <is>
          <t>B</t>
        </is>
      </c>
      <c r="M48" s="3" t="inlineStr">
        <is>
          <t>Có 9 chiếc ô tô.</t>
        </is>
      </c>
      <c r="N48" s="3" t="n"/>
      <c r="O48" s="14" t="n">
        <v>30</v>
      </c>
      <c r="P48" s="14">
        <f>INDEX(Khung_cap_do!$H$2:$H$6,H48)</f>
        <v/>
      </c>
      <c r="Q48" s="3" t="inlineStr">
        <is>
          <t>T1.SO.01</t>
        </is>
      </c>
      <c r="R48" s="3" t="inlineStr">
        <is>
          <t>TOAN.DEM</t>
        </is>
      </c>
    </row>
    <row r="49">
      <c r="A49" s="3" t="inlineStr">
        <is>
          <t>toan1-kntt-b06-q2</t>
        </is>
      </c>
      <c r="B49" s="3" t="inlineStr">
        <is>
          <t>Toán</t>
        </is>
      </c>
      <c r="C49" s="3" t="inlineStr">
        <is>
          <t>Kết nối tri thức</t>
        </is>
      </c>
      <c r="D49" s="3" t="inlineStr">
        <is>
          <t>Bài 6</t>
        </is>
      </c>
      <c r="E49" s="3" t="inlineStr">
        <is>
          <t>Chủ đề 1. Các số từ 0 đến 10</t>
        </is>
      </c>
      <c r="F49" s="3" t="inlineStr">
        <is>
          <t>Bài 6. Luyện tập chung</t>
        </is>
      </c>
      <c r="G49" s="3" t="inlineStr">
        <is>
          <t>Điền đáp án</t>
        </is>
      </c>
      <c r="H49" s="14" t="n">
        <v>1</v>
      </c>
      <c r="I49" s="3" t="inlineStr">
        <is>
          <t>Làm quen</t>
        </is>
      </c>
      <c r="J49" s="3" t="inlineStr">
        <is>
          <t>Viết số: sáu</t>
        </is>
      </c>
      <c r="K49" s="3" t="inlineStr"/>
      <c r="L49" s="3" t="inlineStr">
        <is>
          <t>6</t>
        </is>
      </c>
      <c r="M49" s="3" t="inlineStr">
        <is>
          <t>Sáu viết là 6.</t>
        </is>
      </c>
      <c r="N49" s="3" t="n"/>
      <c r="O49" s="14" t="n">
        <v>40</v>
      </c>
      <c r="P49" s="14">
        <f>INDEX(Khung_cap_do!$H$2:$H$6,H49)</f>
        <v/>
      </c>
      <c r="Q49" s="3" t="inlineStr">
        <is>
          <t>T1.SO.01</t>
        </is>
      </c>
      <c r="R49" s="3" t="inlineStr">
        <is>
          <t>TOAN.DOCVIET</t>
        </is>
      </c>
    </row>
    <row r="50">
      <c r="A50" s="3" t="inlineStr">
        <is>
          <t>toan1-kntt-b06-q3</t>
        </is>
      </c>
      <c r="B50" s="3" t="inlineStr">
        <is>
          <t>Toán</t>
        </is>
      </c>
      <c r="C50" s="3" t="inlineStr">
        <is>
          <t>Kết nối tri thức</t>
        </is>
      </c>
      <c r="D50" s="3" t="inlineStr">
        <is>
          <t>Bài 6</t>
        </is>
      </c>
      <c r="E50" s="3" t="inlineStr">
        <is>
          <t>Chủ đề 1. Các số từ 0 đến 10</t>
        </is>
      </c>
      <c r="F50" s="3" t="inlineStr">
        <is>
          <t>Bài 6. Luyện tập chung</t>
        </is>
      </c>
      <c r="G50" s="3" t="inlineStr">
        <is>
          <t>Chọn đáp án</t>
        </is>
      </c>
      <c r="H50" s="14" t="n">
        <v>1</v>
      </c>
      <c r="I50" s="3" t="inlineStr">
        <is>
          <t>Làm quen</t>
        </is>
      </c>
      <c r="J50" s="3" t="inlineStr">
        <is>
          <t>Chọn dấu đúng: 10 ... 7</t>
        </is>
      </c>
      <c r="K50" s="3" t="inlineStr">
        <is>
          <t>A. &gt; | B. &lt; | C. =</t>
        </is>
      </c>
      <c r="L50" s="3" t="inlineStr">
        <is>
          <t>A</t>
        </is>
      </c>
      <c r="M50" s="3" t="inlineStr">
        <is>
          <t>10 lớn hơn 7.</t>
        </is>
      </c>
      <c r="N50" s="3" t="n"/>
      <c r="O50" s="14" t="n">
        <v>30</v>
      </c>
      <c r="P50" s="14">
        <f>INDEX(Khung_cap_do!$H$2:$H$6,H50)</f>
        <v/>
      </c>
      <c r="Q50" s="3" t="inlineStr">
        <is>
          <t>T1.SO.02</t>
        </is>
      </c>
      <c r="R50" s="3" t="inlineStr">
        <is>
          <t>TOAN.SOSANH</t>
        </is>
      </c>
    </row>
    <row r="51">
      <c r="A51" s="3" t="inlineStr">
        <is>
          <t>toan1-kntt-b06-q4</t>
        </is>
      </c>
      <c r="B51" s="3" t="inlineStr">
        <is>
          <t>Toán</t>
        </is>
      </c>
      <c r="C51" s="3" t="inlineStr">
        <is>
          <t>Kết nối tri thức</t>
        </is>
      </c>
      <c r="D51" s="3" t="inlineStr">
        <is>
          <t>Bài 6</t>
        </is>
      </c>
      <c r="E51" s="3" t="inlineStr">
        <is>
          <t>Chủ đề 1. Các số từ 0 đến 10</t>
        </is>
      </c>
      <c r="F51" s="3" t="inlineStr">
        <is>
          <t>Bài 6. Luyện tập chung</t>
        </is>
      </c>
      <c r="G51" s="3" t="inlineStr">
        <is>
          <t>Điền đáp án</t>
        </is>
      </c>
      <c r="H51" s="14" t="n">
        <v>2</v>
      </c>
      <c r="I51" s="3" t="inlineStr">
        <is>
          <t>Cơ bản</t>
        </is>
      </c>
      <c r="J51" s="3" t="inlineStr">
        <is>
          <t>9 gồm 7 và mấy?</t>
        </is>
      </c>
      <c r="K51" s="3" t="inlineStr"/>
      <c r="L51" s="3" t="inlineStr">
        <is>
          <t>2 / hai</t>
        </is>
      </c>
      <c r="M51" s="3" t="inlineStr">
        <is>
          <t>9 gồm 7 và 2.</t>
        </is>
      </c>
      <c r="N51" s="3" t="n"/>
      <c r="O51" s="14" t="n">
        <v>50</v>
      </c>
      <c r="P51" s="14">
        <f>INDEX(Khung_cap_do!$H$2:$H$6,H51)</f>
        <v/>
      </c>
      <c r="Q51" s="3" t="inlineStr">
        <is>
          <t>T1.PT.01</t>
        </is>
      </c>
      <c r="R51" s="3" t="inlineStr">
        <is>
          <t>TOAN.SOTHIEU</t>
        </is>
      </c>
    </row>
    <row r="52">
      <c r="A52" s="3" t="inlineStr">
        <is>
          <t>toan1-kntt-b06-q5</t>
        </is>
      </c>
      <c r="B52" s="3" t="inlineStr">
        <is>
          <t>Toán</t>
        </is>
      </c>
      <c r="C52" s="3" t="inlineStr">
        <is>
          <t>Kết nối tri thức</t>
        </is>
      </c>
      <c r="D52" s="3" t="inlineStr">
        <is>
          <t>Bài 6</t>
        </is>
      </c>
      <c r="E52" s="3" t="inlineStr">
        <is>
          <t>Chủ đề 1. Các số từ 0 đến 10</t>
        </is>
      </c>
      <c r="F52" s="3" t="inlineStr">
        <is>
          <t>Bài 6. Luyện tập chung</t>
        </is>
      </c>
      <c r="G52" s="3" t="inlineStr">
        <is>
          <t>Sắp xếp</t>
        </is>
      </c>
      <c r="H52" s="14" t="n">
        <v>2</v>
      </c>
      <c r="I52" s="3" t="inlineStr">
        <is>
          <t>Cơ bản</t>
        </is>
      </c>
      <c r="J52" s="3" t="inlineStr">
        <is>
          <t>Xếp từ bé đến lớn</t>
        </is>
      </c>
      <c r="K52" s="3" t="inlineStr">
        <is>
          <t>0 / 10 / 3 / 7</t>
        </is>
      </c>
      <c r="L52" s="3" t="inlineStr">
        <is>
          <t>0 → 3 → 7 → 10</t>
        </is>
      </c>
      <c r="M52" s="3" t="inlineStr">
        <is>
          <t>0, 3, 7, 10.</t>
        </is>
      </c>
      <c r="N52" s="3" t="n"/>
      <c r="O52" s="14" t="n">
        <v>55</v>
      </c>
      <c r="P52" s="14">
        <f>INDEX(Khung_cap_do!$H$2:$H$6,H52)</f>
        <v/>
      </c>
      <c r="Q52" s="3" t="inlineStr">
        <is>
          <t>T1.SO.02</t>
        </is>
      </c>
      <c r="R52" s="3" t="inlineStr">
        <is>
          <t>TOAN.SAPXEP</t>
        </is>
      </c>
    </row>
    <row r="53">
      <c r="A53" s="3" t="inlineStr">
        <is>
          <t>toan1-kntt-b06-q6</t>
        </is>
      </c>
      <c r="B53" s="3" t="inlineStr">
        <is>
          <t>Toán</t>
        </is>
      </c>
      <c r="C53" s="3" t="inlineStr">
        <is>
          <t>Kết nối tri thức</t>
        </is>
      </c>
      <c r="D53" s="3" t="inlineStr">
        <is>
          <t>Bài 6</t>
        </is>
      </c>
      <c r="E53" s="3" t="inlineStr">
        <is>
          <t>Chủ đề 1. Các số từ 0 đến 10</t>
        </is>
      </c>
      <c r="F53" s="3" t="inlineStr">
        <is>
          <t>Bài 6. Luyện tập chung</t>
        </is>
      </c>
      <c r="G53" s="3" t="inlineStr">
        <is>
          <t>Chọn đáp án</t>
        </is>
      </c>
      <c r="H53" s="14" t="n">
        <v>2</v>
      </c>
      <c r="I53" s="3" t="inlineStr">
        <is>
          <t>Cơ bản</t>
        </is>
      </c>
      <c r="J53" s="3" t="inlineStr">
        <is>
          <t>Số liền trước số 10 là số nào?</t>
        </is>
      </c>
      <c r="K53" s="3" t="inlineStr">
        <is>
          <t>A. 8 | B. 9 | C. 7</t>
        </is>
      </c>
      <c r="L53" s="3" t="inlineStr">
        <is>
          <t>B</t>
        </is>
      </c>
      <c r="M53" s="3" t="inlineStr">
        <is>
          <t>Đếm 8, 9, 10: số đứng ngay trước 10 là 9.</t>
        </is>
      </c>
      <c r="N53" s="3" t="n"/>
      <c r="O53" s="14" t="n">
        <v>40</v>
      </c>
      <c r="P53" s="14">
        <f>INDEX(Khung_cap_do!$H$2:$H$6,H53)</f>
        <v/>
      </c>
      <c r="Q53" s="3" t="inlineStr">
        <is>
          <t>T1.SO.01</t>
        </is>
      </c>
      <c r="R53" s="3" t="inlineStr">
        <is>
          <t>TOAN.DOCVIET</t>
        </is>
      </c>
    </row>
    <row r="54">
      <c r="A54" s="3" t="inlineStr">
        <is>
          <t>toan1-kntt-b06-q7</t>
        </is>
      </c>
      <c r="B54" s="3" t="inlineStr">
        <is>
          <t>Toán</t>
        </is>
      </c>
      <c r="C54" s="3" t="inlineStr">
        <is>
          <t>Kết nối tri thức</t>
        </is>
      </c>
      <c r="D54" s="3" t="inlineStr">
        <is>
          <t>Bài 6</t>
        </is>
      </c>
      <c r="E54" s="3" t="inlineStr">
        <is>
          <t>Chủ đề 1. Các số từ 0 đến 10</t>
        </is>
      </c>
      <c r="F54" s="3" t="inlineStr">
        <is>
          <t>Bài 6. Luyện tập chung</t>
        </is>
      </c>
      <c r="G54" s="3" t="inlineStr">
        <is>
          <t>Đúng / Sai</t>
        </is>
      </c>
      <c r="H54" s="14" t="n">
        <v>2</v>
      </c>
      <c r="I54" s="3" t="inlineStr">
        <is>
          <t>Cơ bản</t>
        </is>
      </c>
      <c r="J54" s="3" t="inlineStr">
        <is>
          <t>Trong các số 4, 0, 6 thì 0 là số bé nhất. Đúng hay sai?</t>
        </is>
      </c>
      <c r="K54" s="3" t="inlineStr">
        <is>
          <t>A. Đúng | B. Sai</t>
        </is>
      </c>
      <c r="L54" s="3" t="inlineStr">
        <is>
          <t>A</t>
        </is>
      </c>
      <c r="M54" s="3" t="inlineStr">
        <is>
          <t>0 là số bé nhất trong các số đã học.</t>
        </is>
      </c>
      <c r="N54" s="3" t="n"/>
      <c r="O54" s="14" t="n">
        <v>40</v>
      </c>
      <c r="P54" s="14">
        <f>INDEX(Khung_cap_do!$H$2:$H$6,H54)</f>
        <v/>
      </c>
      <c r="Q54" s="3" t="inlineStr">
        <is>
          <t>T1.SO.02</t>
        </is>
      </c>
      <c r="R54" s="3" t="inlineStr">
        <is>
          <t>TOAN.DUNGSAI</t>
        </is>
      </c>
    </row>
    <row r="55">
      <c r="A55" s="3" t="inlineStr">
        <is>
          <t>toan1-kntt-b06-q8</t>
        </is>
      </c>
      <c r="B55" s="3" t="inlineStr">
        <is>
          <t>Toán</t>
        </is>
      </c>
      <c r="C55" s="3" t="inlineStr">
        <is>
          <t>Kết nối tri thức</t>
        </is>
      </c>
      <c r="D55" s="3" t="inlineStr">
        <is>
          <t>Bài 6</t>
        </is>
      </c>
      <c r="E55" s="3" t="inlineStr">
        <is>
          <t>Chủ đề 1. Các số từ 0 đến 10</t>
        </is>
      </c>
      <c r="F55" s="3" t="inlineStr">
        <is>
          <t>Bài 6. Luyện tập chung</t>
        </is>
      </c>
      <c r="G55" s="3" t="inlineStr">
        <is>
          <t>Chọn đáp án</t>
        </is>
      </c>
      <c r="H55" s="14" t="n">
        <v>3</v>
      </c>
      <c r="I55" s="3" t="inlineStr">
        <is>
          <t>Vận dụng</t>
        </is>
      </c>
      <c r="J55" s="3" t="inlineStr">
        <is>
          <t>Nam có 7 viên bi. Minh có số bi nhiều hơn Nam nhưng ít hơn 9. Minh có mấy viên bi?</t>
        </is>
      </c>
      <c r="K55" s="3" t="inlineStr">
        <is>
          <t>A. 6 | B. 8 | C. 9</t>
        </is>
      </c>
      <c r="L55" s="3" t="inlineStr">
        <is>
          <t>B</t>
        </is>
      </c>
      <c r="M55" s="3" t="inlineStr">
        <is>
          <t>Số lớn hơn 7 và bé hơn 9 là 8.</t>
        </is>
      </c>
      <c r="N55" s="3" t="inlineStr">
        <is>
          <t>Minh có nhiều hơn 7 viên nên có thể là 8, 9, 10... Nhưng phải ít hơn 9, nên chỉ còn 8. Minh có 8 viên bi.</t>
        </is>
      </c>
      <c r="O55" s="14" t="n">
        <v>60</v>
      </c>
      <c r="P55" s="14">
        <f>INDEX(Khung_cap_do!$H$2:$H$6,H55)</f>
        <v/>
      </c>
      <c r="Q55" s="3" t="inlineStr">
        <is>
          <t>T1.SO.02</t>
        </is>
      </c>
      <c r="R55" s="3" t="inlineStr">
        <is>
          <t>TOAN.SOSANH</t>
        </is>
      </c>
    </row>
    <row r="56">
      <c r="A56" s="3" t="inlineStr">
        <is>
          <t>toan1-kntt-b07-q1</t>
        </is>
      </c>
      <c r="B56" s="3" t="inlineStr">
        <is>
          <t>Toán</t>
        </is>
      </c>
      <c r="C56" s="3" t="inlineStr">
        <is>
          <t>Kết nối tri thức</t>
        </is>
      </c>
      <c r="D56" s="3" t="inlineStr">
        <is>
          <t>Bài 7</t>
        </is>
      </c>
      <c r="E56" s="3" t="inlineStr">
        <is>
          <t>Chủ đề 2. Làm quen với một số hình phẳng</t>
        </is>
      </c>
      <c r="F56" s="3" t="inlineStr">
        <is>
          <t>Bài 7. Hình vuông, hình tròn, hình tam giác, hình chữ nhật</t>
        </is>
      </c>
      <c r="G56" s="3" t="inlineStr">
        <is>
          <t>Chọn đáp án</t>
        </is>
      </c>
      <c r="H56" s="14" t="n">
        <v>1</v>
      </c>
      <c r="I56" s="3" t="inlineStr">
        <is>
          <t>Làm quen</t>
        </is>
      </c>
      <c r="J56" s="3" t="inlineStr">
        <is>
          <t>Hình 🔵 là hình gì?</t>
        </is>
      </c>
      <c r="K56" s="3" t="inlineStr">
        <is>
          <t>A. Hình tròn | B. Hình vuông | C. Hình tam giác</t>
        </is>
      </c>
      <c r="L56" s="3" t="inlineStr">
        <is>
          <t>A</t>
        </is>
      </c>
      <c r="M56" s="3" t="inlineStr">
        <is>
          <t>Hình tròn không có góc, viền cong đều.</t>
        </is>
      </c>
      <c r="N56" s="3" t="n"/>
      <c r="O56" s="14" t="n">
        <v>30</v>
      </c>
      <c r="P56" s="14">
        <f>INDEX(Khung_cap_do!$H$2:$H$6,H56)</f>
        <v/>
      </c>
      <c r="Q56" s="3" t="inlineStr">
        <is>
          <t>T1.HH.02</t>
        </is>
      </c>
      <c r="R56" s="3" t="inlineStr">
        <is>
          <t>TOAN.HINH</t>
        </is>
      </c>
    </row>
    <row r="57">
      <c r="A57" s="3" t="inlineStr">
        <is>
          <t>toan1-kntt-b07-q2</t>
        </is>
      </c>
      <c r="B57" s="3" t="inlineStr">
        <is>
          <t>Toán</t>
        </is>
      </c>
      <c r="C57" s="3" t="inlineStr">
        <is>
          <t>Kết nối tri thức</t>
        </is>
      </c>
      <c r="D57" s="3" t="inlineStr">
        <is>
          <t>Bài 7</t>
        </is>
      </c>
      <c r="E57" s="3" t="inlineStr">
        <is>
          <t>Chủ đề 2. Làm quen với một số hình phẳng</t>
        </is>
      </c>
      <c r="F57" s="3" t="inlineStr">
        <is>
          <t>Bài 7. Hình vuông, hình tròn, hình tam giác, hình chữ nhật</t>
        </is>
      </c>
      <c r="G57" s="3" t="inlineStr">
        <is>
          <t>Chọn đáp án</t>
        </is>
      </c>
      <c r="H57" s="14" t="n">
        <v>1</v>
      </c>
      <c r="I57" s="3" t="inlineStr">
        <is>
          <t>Làm quen</t>
        </is>
      </c>
      <c r="J57" s="3" t="inlineStr">
        <is>
          <t>Hình 🔺 là hình gì?</t>
        </is>
      </c>
      <c r="K57" s="3" t="inlineStr">
        <is>
          <t>A. Hình tròn | B. Hình vuông | C. Hình tam giác</t>
        </is>
      </c>
      <c r="L57" s="3" t="inlineStr">
        <is>
          <t>C</t>
        </is>
      </c>
      <c r="M57" s="3" t="inlineStr">
        <is>
          <t>Hình tam giác có 3 cạnh.</t>
        </is>
      </c>
      <c r="N57" s="3" t="n"/>
      <c r="O57" s="14" t="n">
        <v>30</v>
      </c>
      <c r="P57" s="14">
        <f>INDEX(Khung_cap_do!$H$2:$H$6,H57)</f>
        <v/>
      </c>
      <c r="Q57" s="3" t="inlineStr">
        <is>
          <t>T1.HH.02</t>
        </is>
      </c>
      <c r="R57" s="3" t="inlineStr">
        <is>
          <t>TOAN.HINH</t>
        </is>
      </c>
    </row>
    <row r="58">
      <c r="A58" s="3" t="inlineStr">
        <is>
          <t>toan1-kntt-b07-q3</t>
        </is>
      </c>
      <c r="B58" s="3" t="inlineStr">
        <is>
          <t>Toán</t>
        </is>
      </c>
      <c r="C58" s="3" t="inlineStr">
        <is>
          <t>Kết nối tri thức</t>
        </is>
      </c>
      <c r="D58" s="3" t="inlineStr">
        <is>
          <t>Bài 7</t>
        </is>
      </c>
      <c r="E58" s="3" t="inlineStr">
        <is>
          <t>Chủ đề 2. Làm quen với một số hình phẳng</t>
        </is>
      </c>
      <c r="F58" s="3" t="inlineStr">
        <is>
          <t>Bài 7. Hình vuông, hình tròn, hình tam giác, hình chữ nhật</t>
        </is>
      </c>
      <c r="G58" s="3" t="inlineStr">
        <is>
          <t>Chọn đáp án</t>
        </is>
      </c>
      <c r="H58" s="14" t="n">
        <v>1</v>
      </c>
      <c r="I58" s="3" t="inlineStr">
        <is>
          <t>Làm quen</t>
        </is>
      </c>
      <c r="J58" s="3" t="inlineStr">
        <is>
          <t>Hình 🟩 là hình gì?</t>
        </is>
      </c>
      <c r="K58" s="3" t="inlineStr">
        <is>
          <t>A. Hình tròn | B. Hình vuông | C. Hình tam giác</t>
        </is>
      </c>
      <c r="L58" s="3" t="inlineStr">
        <is>
          <t>B</t>
        </is>
      </c>
      <c r="M58" s="3" t="inlineStr">
        <is>
          <t>Hình vuông có 4 cạnh dài bằng nhau.</t>
        </is>
      </c>
      <c r="N58" s="3" t="n"/>
      <c r="O58" s="14" t="n">
        <v>30</v>
      </c>
      <c r="P58" s="14">
        <f>INDEX(Khung_cap_do!$H$2:$H$6,H58)</f>
        <v/>
      </c>
      <c r="Q58" s="3" t="inlineStr">
        <is>
          <t>T1.HH.02</t>
        </is>
      </c>
      <c r="R58" s="3" t="inlineStr">
        <is>
          <t>TOAN.HINH</t>
        </is>
      </c>
    </row>
    <row r="59">
      <c r="A59" s="3" t="inlineStr">
        <is>
          <t>toan1-kntt-b07-q4</t>
        </is>
      </c>
      <c r="B59" s="3" t="inlineStr">
        <is>
          <t>Toán</t>
        </is>
      </c>
      <c r="C59" s="3" t="inlineStr">
        <is>
          <t>Kết nối tri thức</t>
        </is>
      </c>
      <c r="D59" s="3" t="inlineStr">
        <is>
          <t>Bài 7</t>
        </is>
      </c>
      <c r="E59" s="3" t="inlineStr">
        <is>
          <t>Chủ đề 2. Làm quen với một số hình phẳng</t>
        </is>
      </c>
      <c r="F59" s="3" t="inlineStr">
        <is>
          <t>Bài 7. Hình vuông, hình tròn, hình tam giác, hình chữ nhật</t>
        </is>
      </c>
      <c r="G59" s="3" t="inlineStr">
        <is>
          <t>Chọn đáp án</t>
        </is>
      </c>
      <c r="H59" s="14" t="n">
        <v>2</v>
      </c>
      <c r="I59" s="3" t="inlineStr">
        <is>
          <t>Cơ bản</t>
        </is>
      </c>
      <c r="J59" s="3" t="inlineStr">
        <is>
          <t>Hình nào có 3 cạnh?</t>
        </is>
      </c>
      <c r="K59" s="3" t="inlineStr">
        <is>
          <t>A. Hình vuông | B. Hình tròn | C. Hình tam giác | D. Hình chữ nhật</t>
        </is>
      </c>
      <c r="L59" s="3" t="inlineStr">
        <is>
          <t>C</t>
        </is>
      </c>
      <c r="M59" s="3" t="inlineStr">
        <is>
          <t>Hình tam giác có 3 cạnh, 3 góc.</t>
        </is>
      </c>
      <c r="N59" s="3" t="n"/>
      <c r="O59" s="14" t="n">
        <v>40</v>
      </c>
      <c r="P59" s="14">
        <f>INDEX(Khung_cap_do!$H$2:$H$6,H59)</f>
        <v/>
      </c>
      <c r="Q59" s="3" t="inlineStr">
        <is>
          <t>T1.HH.02</t>
        </is>
      </c>
      <c r="R59" s="3" t="inlineStr">
        <is>
          <t>TOAN.HINH</t>
        </is>
      </c>
    </row>
    <row r="60">
      <c r="A60" s="3" t="inlineStr">
        <is>
          <t>toan1-kntt-b07-q5</t>
        </is>
      </c>
      <c r="B60" s="3" t="inlineStr">
        <is>
          <t>Toán</t>
        </is>
      </c>
      <c r="C60" s="3" t="inlineStr">
        <is>
          <t>Kết nối tri thức</t>
        </is>
      </c>
      <c r="D60" s="3" t="inlineStr">
        <is>
          <t>Bài 7</t>
        </is>
      </c>
      <c r="E60" s="3" t="inlineStr">
        <is>
          <t>Chủ đề 2. Làm quen với một số hình phẳng</t>
        </is>
      </c>
      <c r="F60" s="3" t="inlineStr">
        <is>
          <t>Bài 7. Hình vuông, hình tròn, hình tam giác, hình chữ nhật</t>
        </is>
      </c>
      <c r="G60" s="3" t="inlineStr">
        <is>
          <t>Ghép cặp</t>
        </is>
      </c>
      <c r="H60" s="14" t="n">
        <v>2</v>
      </c>
      <c r="I60" s="3" t="inlineStr">
        <is>
          <t>Cơ bản</t>
        </is>
      </c>
      <c r="J60" s="3" t="inlineStr">
        <is>
          <t>Ghép đồ vật với hình dạng của mặt đồ vật</t>
        </is>
      </c>
      <c r="K60" s="3" t="inlineStr">
        <is>
          <t>Mặt đồng hồ treo tường ↔ ? / Mặt quyển vở ↔ ? / Chiếc khăn mùi soa ↔ ?</t>
        </is>
      </c>
      <c r="L60" s="3" t="inlineStr">
        <is>
          <t>Mặt đồng hồ treo tường – Hình tròn; Mặt quyển vở – Hình chữ nhật; Chiếc khăn mùi soa – Hình vuông</t>
        </is>
      </c>
      <c r="M60" s="3" t="inlineStr">
        <is>
          <t>Đồng hồ tròn, quyển vở hình chữ nhật, khăn mùi soa hình vuông.</t>
        </is>
      </c>
      <c r="N60" s="3" t="n"/>
      <c r="O60" s="14" t="n">
        <v>55</v>
      </c>
      <c r="P60" s="14">
        <f>INDEX(Khung_cap_do!$H$2:$H$6,H60)</f>
        <v/>
      </c>
      <c r="Q60" s="3" t="inlineStr">
        <is>
          <t>T1.HH.02</t>
        </is>
      </c>
      <c r="R60" s="3" t="inlineStr">
        <is>
          <t>TOAN.HINH</t>
        </is>
      </c>
    </row>
    <row r="61">
      <c r="A61" s="3" t="inlineStr">
        <is>
          <t>toan1-kntt-b07-q6</t>
        </is>
      </c>
      <c r="B61" s="3" t="inlineStr">
        <is>
          <t>Toán</t>
        </is>
      </c>
      <c r="C61" s="3" t="inlineStr">
        <is>
          <t>Kết nối tri thức</t>
        </is>
      </c>
      <c r="D61" s="3" t="inlineStr">
        <is>
          <t>Bài 7</t>
        </is>
      </c>
      <c r="E61" s="3" t="inlineStr">
        <is>
          <t>Chủ đề 2. Làm quen với một số hình phẳng</t>
        </is>
      </c>
      <c r="F61" s="3" t="inlineStr">
        <is>
          <t>Bài 7. Hình vuông, hình tròn, hình tam giác, hình chữ nhật</t>
        </is>
      </c>
      <c r="G61" s="3" t="inlineStr">
        <is>
          <t>Điền đáp án</t>
        </is>
      </c>
      <c r="H61" s="14" t="n">
        <v>2</v>
      </c>
      <c r="I61" s="3" t="inlineStr">
        <is>
          <t>Cơ bản</t>
        </is>
      </c>
      <c r="J61" s="3" t="inlineStr">
        <is>
          <t>🔺🔵🔺🟩🔺🔵
Có mấy hình tam giác?</t>
        </is>
      </c>
      <c r="K61" s="3" t="inlineStr"/>
      <c r="L61" s="3" t="inlineStr">
        <is>
          <t>3 / ba</t>
        </is>
      </c>
      <c r="M61" s="3" t="inlineStr">
        <is>
          <t>Đếm các hình 🔺: có 3 hình tam giác.</t>
        </is>
      </c>
      <c r="N61" s="3" t="n"/>
      <c r="O61" s="14" t="n">
        <v>50</v>
      </c>
      <c r="P61" s="14">
        <f>INDEX(Khung_cap_do!$H$2:$H$6,H61)</f>
        <v/>
      </c>
      <c r="Q61" s="3" t="inlineStr">
        <is>
          <t>T1.HH.02</t>
        </is>
      </c>
      <c r="R61" s="3" t="inlineStr">
        <is>
          <t>TOAN.DEM</t>
        </is>
      </c>
    </row>
    <row r="62">
      <c r="A62" s="3" t="inlineStr">
        <is>
          <t>toan1-kntt-b07-q7</t>
        </is>
      </c>
      <c r="B62" s="3" t="inlineStr">
        <is>
          <t>Toán</t>
        </is>
      </c>
      <c r="C62" s="3" t="inlineStr">
        <is>
          <t>Kết nối tri thức</t>
        </is>
      </c>
      <c r="D62" s="3" t="inlineStr">
        <is>
          <t>Bài 7</t>
        </is>
      </c>
      <c r="E62" s="3" t="inlineStr">
        <is>
          <t>Chủ đề 2. Làm quen với một số hình phẳng</t>
        </is>
      </c>
      <c r="F62" s="3" t="inlineStr">
        <is>
          <t>Bài 7. Hình vuông, hình tròn, hình tam giác, hình chữ nhật</t>
        </is>
      </c>
      <c r="G62" s="3" t="inlineStr">
        <is>
          <t>Đúng / Sai</t>
        </is>
      </c>
      <c r="H62" s="14" t="n">
        <v>2</v>
      </c>
      <c r="I62" s="3" t="inlineStr">
        <is>
          <t>Cơ bản</t>
        </is>
      </c>
      <c r="J62" s="3" t="inlineStr">
        <is>
          <t>Hình vuông có 4 cạnh dài bằng nhau. Đúng hay sai?</t>
        </is>
      </c>
      <c r="K62" s="3" t="inlineStr">
        <is>
          <t>A. Đúng | B. Sai</t>
        </is>
      </c>
      <c r="L62" s="3" t="inlineStr">
        <is>
          <t>A</t>
        </is>
      </c>
      <c r="M62" s="3" t="inlineStr">
        <is>
          <t>Đúng, 4 cạnh của hình vuông dài bằng nhau.</t>
        </is>
      </c>
      <c r="N62" s="3" t="n"/>
      <c r="O62" s="14" t="n">
        <v>40</v>
      </c>
      <c r="P62" s="14">
        <f>INDEX(Khung_cap_do!$H$2:$H$6,H62)</f>
        <v/>
      </c>
      <c r="Q62" s="3" t="inlineStr">
        <is>
          <t>T1.HH.02</t>
        </is>
      </c>
      <c r="R62" s="3" t="inlineStr">
        <is>
          <t>TOAN.DUNGSAI</t>
        </is>
      </c>
    </row>
    <row r="63">
      <c r="A63" s="3" t="inlineStr">
        <is>
          <t>toan1-kntt-b07-q8</t>
        </is>
      </c>
      <c r="B63" s="3" t="inlineStr">
        <is>
          <t>Toán</t>
        </is>
      </c>
      <c r="C63" s="3" t="inlineStr">
        <is>
          <t>Kết nối tri thức</t>
        </is>
      </c>
      <c r="D63" s="3" t="inlineStr">
        <is>
          <t>Bài 7</t>
        </is>
      </c>
      <c r="E63" s="3" t="inlineStr">
        <is>
          <t>Chủ đề 2. Làm quen với một số hình phẳng</t>
        </is>
      </c>
      <c r="F63" s="3" t="inlineStr">
        <is>
          <t>Bài 7. Hình vuông, hình tròn, hình tam giác, hình chữ nhật</t>
        </is>
      </c>
      <c r="G63" s="3" t="inlineStr">
        <is>
          <t>Chọn nhiều đáp án</t>
        </is>
      </c>
      <c r="H63" s="14" t="n">
        <v>3</v>
      </c>
      <c r="I63" s="3" t="inlineStr">
        <is>
          <t>Vận dụng</t>
        </is>
      </c>
      <c r="J63" s="3" t="inlineStr">
        <is>
          <t>Chọn TẤT CẢ đồ vật có mặt là hình tròn</t>
        </is>
      </c>
      <c r="K63" s="3" t="inlineStr">
        <is>
          <t>A. Đồng xu | B. Quyển sách | C. Cái đĩa | D. Viên gạch</t>
        </is>
      </c>
      <c r="L63" s="3" t="inlineStr">
        <is>
          <t>A, C</t>
        </is>
      </c>
      <c r="M63" s="3" t="inlineStr">
        <is>
          <t>Đồng xu và cái đĩa có mặt tròn. Quyển sách, viên gạch có mặt hình chữ nhật.</t>
        </is>
      </c>
      <c r="N63" s="3" t="inlineStr">
        <is>
          <t>Hình dung mặt từng đồ vật: đồng xu và cái đĩa tròn, lăn được. Quyển sách và viên gạch có 4 cạnh, 4 góc nên là hình chữ nhật.</t>
        </is>
      </c>
      <c r="O63" s="14" t="n">
        <v>60</v>
      </c>
      <c r="P63" s="14">
        <f>INDEX(Khung_cap_do!$H$2:$H$6,H63)</f>
        <v/>
      </c>
      <c r="Q63" s="3" t="inlineStr">
        <is>
          <t>T1.HH.02</t>
        </is>
      </c>
      <c r="R63" s="3" t="inlineStr">
        <is>
          <t>TOAN.HINH</t>
        </is>
      </c>
    </row>
    <row r="64">
      <c r="A64" s="3" t="inlineStr">
        <is>
          <t>toan1-kntt-b08-q1</t>
        </is>
      </c>
      <c r="B64" s="3" t="inlineStr">
        <is>
          <t>Toán</t>
        </is>
      </c>
      <c r="C64" s="3" t="inlineStr">
        <is>
          <t>Kết nối tri thức</t>
        </is>
      </c>
      <c r="D64" s="3" t="inlineStr">
        <is>
          <t>Bài 8</t>
        </is>
      </c>
      <c r="E64" s="3" t="inlineStr">
        <is>
          <t>Chủ đề 2. Làm quen với một số hình phẳng</t>
        </is>
      </c>
      <c r="F64" s="3" t="inlineStr">
        <is>
          <t>Bài 8. Thực hành lắp ghép, xếp hình</t>
        </is>
      </c>
      <c r="G64" s="3" t="inlineStr">
        <is>
          <t>Chọn đáp án</t>
        </is>
      </c>
      <c r="H64" s="14" t="n">
        <v>1</v>
      </c>
      <c r="I64" s="3" t="inlineStr">
        <is>
          <t>Làm quen</t>
        </is>
      </c>
      <c r="J64" s="3" t="inlineStr">
        <is>
          <t>Dùng que tính xếp 1 hình tam giác cần mấy que?</t>
        </is>
      </c>
      <c r="K64" s="3" t="inlineStr">
        <is>
          <t>A. 2 | B. 3 | C. 4</t>
        </is>
      </c>
      <c r="L64" s="3" t="inlineStr">
        <is>
          <t>B</t>
        </is>
      </c>
      <c r="M64" s="3" t="inlineStr">
        <is>
          <t>Hình tam giác có 3 cạnh nên cần 3 que tính.</t>
        </is>
      </c>
      <c r="N64" s="3" t="n"/>
      <c r="O64" s="14" t="n">
        <v>30</v>
      </c>
      <c r="P64" s="14">
        <f>INDEX(Khung_cap_do!$H$2:$H$6,H64)</f>
        <v/>
      </c>
      <c r="Q64" s="3" t="inlineStr">
        <is>
          <t>T1.HH.04</t>
        </is>
      </c>
      <c r="R64" s="3" t="inlineStr">
        <is>
          <t>TOAN.HINH</t>
        </is>
      </c>
    </row>
    <row r="65">
      <c r="A65" s="3" t="inlineStr">
        <is>
          <t>toan1-kntt-b08-q2</t>
        </is>
      </c>
      <c r="B65" s="3" t="inlineStr">
        <is>
          <t>Toán</t>
        </is>
      </c>
      <c r="C65" s="3" t="inlineStr">
        <is>
          <t>Kết nối tri thức</t>
        </is>
      </c>
      <c r="D65" s="3" t="inlineStr">
        <is>
          <t>Bài 8</t>
        </is>
      </c>
      <c r="E65" s="3" t="inlineStr">
        <is>
          <t>Chủ đề 2. Làm quen với một số hình phẳng</t>
        </is>
      </c>
      <c r="F65" s="3" t="inlineStr">
        <is>
          <t>Bài 8. Thực hành lắp ghép, xếp hình</t>
        </is>
      </c>
      <c r="G65" s="3" t="inlineStr">
        <is>
          <t>Điền đáp án</t>
        </is>
      </c>
      <c r="H65" s="14" t="n">
        <v>1</v>
      </c>
      <c r="I65" s="3" t="inlineStr">
        <is>
          <t>Làm quen</t>
        </is>
      </c>
      <c r="J65" s="3" t="inlineStr">
        <is>
          <t>Dùng que tính xếp 1 hình vuông cần mấy que?</t>
        </is>
      </c>
      <c r="K65" s="3" t="inlineStr"/>
      <c r="L65" s="3" t="inlineStr">
        <is>
          <t>4 / bốn</t>
        </is>
      </c>
      <c r="M65" s="3" t="inlineStr">
        <is>
          <t>Hình vuông có 4 cạnh nên cần 4 que tính.</t>
        </is>
      </c>
      <c r="N65" s="3" t="n"/>
      <c r="O65" s="14" t="n">
        <v>40</v>
      </c>
      <c r="P65" s="14">
        <f>INDEX(Khung_cap_do!$H$2:$H$6,H65)</f>
        <v/>
      </c>
      <c r="Q65" s="3" t="inlineStr">
        <is>
          <t>T1.HH.04</t>
        </is>
      </c>
      <c r="R65" s="3" t="inlineStr">
        <is>
          <t>TOAN.HINH</t>
        </is>
      </c>
    </row>
    <row r="66">
      <c r="A66" s="3" t="inlineStr">
        <is>
          <t>toan1-kntt-b08-q3</t>
        </is>
      </c>
      <c r="B66" s="3" t="inlineStr">
        <is>
          <t>Toán</t>
        </is>
      </c>
      <c r="C66" s="3" t="inlineStr">
        <is>
          <t>Kết nối tri thức</t>
        </is>
      </c>
      <c r="D66" s="3" t="inlineStr">
        <is>
          <t>Bài 8</t>
        </is>
      </c>
      <c r="E66" s="3" t="inlineStr">
        <is>
          <t>Chủ đề 2. Làm quen với một số hình phẳng</t>
        </is>
      </c>
      <c r="F66" s="3" t="inlineStr">
        <is>
          <t>Bài 8. Thực hành lắp ghép, xếp hình</t>
        </is>
      </c>
      <c r="G66" s="3" t="inlineStr">
        <is>
          <t>Chọn đáp án</t>
        </is>
      </c>
      <c r="H66" s="14" t="n">
        <v>2</v>
      </c>
      <c r="I66" s="3" t="inlineStr">
        <is>
          <t>Cơ bản</t>
        </is>
      </c>
      <c r="J66" s="3" t="inlineStr">
        <is>
          <t>Ghép 2 hình vuông bằng nhau đặt sát cạnh nhau thì được hình gì?</t>
        </is>
      </c>
      <c r="K66" s="3" t="inlineStr">
        <is>
          <t>A. Hình chữ nhật | B. Hình tròn | C. Hình tam giác</t>
        </is>
      </c>
      <c r="L66" s="3" t="inlineStr">
        <is>
          <t>A</t>
        </is>
      </c>
      <c r="M66" s="3" t="inlineStr">
        <is>
          <t>Hai hình vuông đặt cạnh nhau tạo thành hình chữ nhật dài.</t>
        </is>
      </c>
      <c r="N66" s="3" t="n"/>
      <c r="O66" s="14" t="n">
        <v>50</v>
      </c>
      <c r="P66" s="14">
        <f>INDEX(Khung_cap_do!$H$2:$H$6,H66)</f>
        <v/>
      </c>
      <c r="Q66" s="3" t="inlineStr">
        <is>
          <t>T1.HH.04</t>
        </is>
      </c>
      <c r="R66" s="3" t="inlineStr">
        <is>
          <t>TOAN.HINH</t>
        </is>
      </c>
    </row>
    <row r="67">
      <c r="A67" s="3" t="inlineStr">
        <is>
          <t>toan1-kntt-b08-q4</t>
        </is>
      </c>
      <c r="B67" s="3" t="inlineStr">
        <is>
          <t>Toán</t>
        </is>
      </c>
      <c r="C67" s="3" t="inlineStr">
        <is>
          <t>Kết nối tri thức</t>
        </is>
      </c>
      <c r="D67" s="3" t="inlineStr">
        <is>
          <t>Bài 8</t>
        </is>
      </c>
      <c r="E67" s="3" t="inlineStr">
        <is>
          <t>Chủ đề 2. Làm quen với một số hình phẳng</t>
        </is>
      </c>
      <c r="F67" s="3" t="inlineStr">
        <is>
          <t>Bài 8. Thực hành lắp ghép, xếp hình</t>
        </is>
      </c>
      <c r="G67" s="3" t="inlineStr">
        <is>
          <t>Chọn đáp án</t>
        </is>
      </c>
      <c r="H67" s="14" t="n">
        <v>2</v>
      </c>
      <c r="I67" s="3" t="inlineStr">
        <is>
          <t>Cơ bản</t>
        </is>
      </c>
      <c r="J67" s="3" t="inlineStr">
        <is>
          <t>Gấp chéo tờ giấy hình vuông rồi cắt theo nếp gấp, mỗi phần là hình gì?</t>
        </is>
      </c>
      <c r="K67" s="3" t="inlineStr">
        <is>
          <t>A. Hình tam giác | B. Hình tròn | C. Hình vuông</t>
        </is>
      </c>
      <c r="L67" s="3" t="inlineStr">
        <is>
          <t>A</t>
        </is>
      </c>
      <c r="M67" s="3" t="inlineStr">
        <is>
          <t>Cắt hình vuông theo đường chéo được 2 hình tam giác.</t>
        </is>
      </c>
      <c r="N67" s="3" t="n"/>
      <c r="O67" s="14" t="n">
        <v>50</v>
      </c>
      <c r="P67" s="14">
        <f>INDEX(Khung_cap_do!$H$2:$H$6,H67)</f>
        <v/>
      </c>
      <c r="Q67" s="3" t="inlineStr">
        <is>
          <t>T1.HH.04</t>
        </is>
      </c>
      <c r="R67" s="3" t="inlineStr">
        <is>
          <t>TOAN.HINH</t>
        </is>
      </c>
    </row>
    <row r="68">
      <c r="A68" s="3" t="inlineStr">
        <is>
          <t>toan1-kntt-b08-q5</t>
        </is>
      </c>
      <c r="B68" s="3" t="inlineStr">
        <is>
          <t>Toán</t>
        </is>
      </c>
      <c r="C68" s="3" t="inlineStr">
        <is>
          <t>Kết nối tri thức</t>
        </is>
      </c>
      <c r="D68" s="3" t="inlineStr">
        <is>
          <t>Bài 8</t>
        </is>
      </c>
      <c r="E68" s="3" t="inlineStr">
        <is>
          <t>Chủ đề 2. Làm quen với một số hình phẳng</t>
        </is>
      </c>
      <c r="F68" s="3" t="inlineStr">
        <is>
          <t>Bài 8. Thực hành lắp ghép, xếp hình</t>
        </is>
      </c>
      <c r="G68" s="3" t="inlineStr">
        <is>
          <t>Chọn đáp án</t>
        </is>
      </c>
      <c r="H68" s="14" t="n">
        <v>1</v>
      </c>
      <c r="I68" s="3" t="inlineStr">
        <is>
          <t>Làm quen</t>
        </is>
      </c>
      <c r="J68" s="3" t="inlineStr">
        <is>
          <t>Đặt 🔺 lên trên 🟩 thì trông giống cái gì?</t>
        </is>
      </c>
      <c r="K68" s="3" t="inlineStr">
        <is>
          <t>A. Ngôi nhà | B. Con cá | C. Bánh xe</t>
        </is>
      </c>
      <c r="L68" s="3" t="inlineStr">
        <is>
          <t>A</t>
        </is>
      </c>
      <c r="M68" s="3" t="inlineStr">
        <is>
          <t>Hình tam giác làm mái, hình vuông làm thân nhà.</t>
        </is>
      </c>
      <c r="N68" s="3" t="n"/>
      <c r="O68" s="14" t="n">
        <v>30</v>
      </c>
      <c r="P68" s="14">
        <f>INDEX(Khung_cap_do!$H$2:$H$6,H68)</f>
        <v/>
      </c>
      <c r="Q68" s="3" t="inlineStr">
        <is>
          <t>T1.HH.04</t>
        </is>
      </c>
      <c r="R68" s="3" t="inlineStr">
        <is>
          <t>TOAN.HINH</t>
        </is>
      </c>
    </row>
    <row r="69">
      <c r="A69" s="3" t="inlineStr">
        <is>
          <t>toan1-kntt-b08-q6</t>
        </is>
      </c>
      <c r="B69" s="3" t="inlineStr">
        <is>
          <t>Toán</t>
        </is>
      </c>
      <c r="C69" s="3" t="inlineStr">
        <is>
          <t>Kết nối tri thức</t>
        </is>
      </c>
      <c r="D69" s="3" t="inlineStr">
        <is>
          <t>Bài 8</t>
        </is>
      </c>
      <c r="E69" s="3" t="inlineStr">
        <is>
          <t>Chủ đề 2. Làm quen với một số hình phẳng</t>
        </is>
      </c>
      <c r="F69" s="3" t="inlineStr">
        <is>
          <t>Bài 8. Thực hành lắp ghép, xếp hình</t>
        </is>
      </c>
      <c r="G69" s="3" t="inlineStr">
        <is>
          <t>Chọn đáp án</t>
        </is>
      </c>
      <c r="H69" s="14" t="n">
        <v>3</v>
      </c>
      <c r="I69" s="3" t="inlineStr">
        <is>
          <t>Vận dụng</t>
        </is>
      </c>
      <c r="J69" s="3" t="inlineStr">
        <is>
          <t>Xếp 2 hình vuông rời nhau bằng que tính thì cần tất cả mấy que?</t>
        </is>
      </c>
      <c r="K69" s="3" t="inlineStr">
        <is>
          <t>A. 6 | B. 7 | C. 8</t>
        </is>
      </c>
      <c r="L69" s="3" t="inlineStr">
        <is>
          <t>C</t>
        </is>
      </c>
      <c r="M69" s="3" t="inlineStr">
        <is>
          <t>Mỗi hình vuông cần 4 que, hai hình rời nhau cần 8 que.</t>
        </is>
      </c>
      <c r="N69" s="3" t="inlineStr">
        <is>
          <t>Hình vuông thứ nhất dùng 4 que: đếm 1, 2, 3, 4. Hình vuông thứ hai dùng thêm 4 que nữa: đếm tiếp 5, 6, 7, 8. Cần 8 que tính.</t>
        </is>
      </c>
      <c r="O69" s="14" t="n">
        <v>60</v>
      </c>
      <c r="P69" s="14">
        <f>INDEX(Khung_cap_do!$H$2:$H$6,H69)</f>
        <v/>
      </c>
      <c r="Q69" s="3" t="inlineStr">
        <is>
          <t>T1.HH.04</t>
        </is>
      </c>
      <c r="R69" s="3" t="inlineStr">
        <is>
          <t>TOAN.HINH</t>
        </is>
      </c>
    </row>
    <row r="70">
      <c r="A70" s="3" t="inlineStr">
        <is>
          <t>toan1-kntt-b08-q7</t>
        </is>
      </c>
      <c r="B70" s="3" t="inlineStr">
        <is>
          <t>Toán</t>
        </is>
      </c>
      <c r="C70" s="3" t="inlineStr">
        <is>
          <t>Kết nối tri thức</t>
        </is>
      </c>
      <c r="D70" s="3" t="inlineStr">
        <is>
          <t>Bài 8</t>
        </is>
      </c>
      <c r="E70" s="3" t="inlineStr">
        <is>
          <t>Chủ đề 2. Làm quen với một số hình phẳng</t>
        </is>
      </c>
      <c r="F70" s="3" t="inlineStr">
        <is>
          <t>Bài 8. Thực hành lắp ghép, xếp hình</t>
        </is>
      </c>
      <c r="G70" s="3" t="inlineStr">
        <is>
          <t>Đúng / Sai</t>
        </is>
      </c>
      <c r="H70" s="14" t="n">
        <v>1</v>
      </c>
      <c r="I70" s="3" t="inlineStr">
        <is>
          <t>Làm quen</t>
        </is>
      </c>
      <c r="J70" s="3" t="inlineStr">
        <is>
          <t>Bánh xe đạp có dạng hình tam giác. Đúng hay sai?</t>
        </is>
      </c>
      <c r="K70" s="3" t="inlineStr">
        <is>
          <t>A. Đúng | B. Sai</t>
        </is>
      </c>
      <c r="L70" s="3" t="inlineStr">
        <is>
          <t>B</t>
        </is>
      </c>
      <c r="M70" s="3" t="inlineStr">
        <is>
          <t>Bánh xe có dạng hình tròn để lăn được.</t>
        </is>
      </c>
      <c r="N70" s="3" t="n"/>
      <c r="O70" s="14" t="n">
        <v>30</v>
      </c>
      <c r="P70" s="14">
        <f>INDEX(Khung_cap_do!$H$2:$H$6,H70)</f>
        <v/>
      </c>
      <c r="Q70" s="3" t="inlineStr">
        <is>
          <t>T1.HH.02</t>
        </is>
      </c>
      <c r="R70" s="3" t="inlineStr">
        <is>
          <t>TOAN.DUNGSAI</t>
        </is>
      </c>
    </row>
    <row r="71">
      <c r="A71" s="3" t="inlineStr">
        <is>
          <t>toan1-kntt-b09-q1</t>
        </is>
      </c>
      <c r="B71" s="3" t="inlineStr">
        <is>
          <t>Toán</t>
        </is>
      </c>
      <c r="C71" s="3" t="inlineStr">
        <is>
          <t>Kết nối tri thức</t>
        </is>
      </c>
      <c r="D71" s="3" t="inlineStr">
        <is>
          <t>Bài 9</t>
        </is>
      </c>
      <c r="E71" s="3" t="inlineStr">
        <is>
          <t>Chủ đề 2. Làm quen với một số hình phẳng</t>
        </is>
      </c>
      <c r="F71" s="3" t="inlineStr">
        <is>
          <t>Bài 9. Luyện tập chung</t>
        </is>
      </c>
      <c r="G71" s="3" t="inlineStr">
        <is>
          <t>Chọn đáp án</t>
        </is>
      </c>
      <c r="H71" s="14" t="n">
        <v>1</v>
      </c>
      <c r="I71" s="3" t="inlineStr">
        <is>
          <t>Làm quen</t>
        </is>
      </c>
      <c r="J71" s="3" t="inlineStr">
        <is>
          <t>Lá cờ Tổ quốc có dạng hình gì?</t>
        </is>
      </c>
      <c r="K71" s="3" t="inlineStr">
        <is>
          <t>A. Hình chữ nhật | B. Hình tròn | C. Hình tam giác</t>
        </is>
      </c>
      <c r="L71" s="3" t="inlineStr">
        <is>
          <t>A</t>
        </is>
      </c>
      <c r="M71" s="3" t="inlineStr">
        <is>
          <t>Lá cờ có dạng hình chữ nhật.</t>
        </is>
      </c>
      <c r="N71" s="3" t="n"/>
      <c r="O71" s="14" t="n">
        <v>30</v>
      </c>
      <c r="P71" s="14">
        <f>INDEX(Khung_cap_do!$H$2:$H$6,H71)</f>
        <v/>
      </c>
      <c r="Q71" s="3" t="inlineStr">
        <is>
          <t>T1.HH.02</t>
        </is>
      </c>
      <c r="R71" s="3" t="inlineStr">
        <is>
          <t>TOAN.HINH</t>
        </is>
      </c>
    </row>
    <row r="72">
      <c r="A72" s="3" t="inlineStr">
        <is>
          <t>toan1-kntt-b09-q2</t>
        </is>
      </c>
      <c r="B72" s="3" t="inlineStr">
        <is>
          <t>Toán</t>
        </is>
      </c>
      <c r="C72" s="3" t="inlineStr">
        <is>
          <t>Kết nối tri thức</t>
        </is>
      </c>
      <c r="D72" s="3" t="inlineStr">
        <is>
          <t>Bài 9</t>
        </is>
      </c>
      <c r="E72" s="3" t="inlineStr">
        <is>
          <t>Chủ đề 2. Làm quen với một số hình phẳng</t>
        </is>
      </c>
      <c r="F72" s="3" t="inlineStr">
        <is>
          <t>Bài 9. Luyện tập chung</t>
        </is>
      </c>
      <c r="G72" s="3" t="inlineStr">
        <is>
          <t>Điền đáp án</t>
        </is>
      </c>
      <c r="H72" s="14" t="n">
        <v>2</v>
      </c>
      <c r="I72" s="3" t="inlineStr">
        <is>
          <t>Cơ bản</t>
        </is>
      </c>
      <c r="J72" s="3" t="inlineStr">
        <is>
          <t>🔵🟩🔵🔵🔺🔵
Có mấy hình tròn?</t>
        </is>
      </c>
      <c r="K72" s="3" t="inlineStr"/>
      <c r="L72" s="3" t="inlineStr">
        <is>
          <t>4 / bốn</t>
        </is>
      </c>
      <c r="M72" s="3" t="inlineStr">
        <is>
          <t>Đếm các hình 🔵: 4 hình tròn.</t>
        </is>
      </c>
      <c r="N72" s="3" t="n"/>
      <c r="O72" s="14" t="n">
        <v>50</v>
      </c>
      <c r="P72" s="14">
        <f>INDEX(Khung_cap_do!$H$2:$H$6,H72)</f>
        <v/>
      </c>
      <c r="Q72" s="3" t="inlineStr">
        <is>
          <t>T1.HH.02</t>
        </is>
      </c>
      <c r="R72" s="3" t="inlineStr">
        <is>
          <t>TOAN.DEM</t>
        </is>
      </c>
    </row>
    <row r="73">
      <c r="A73" s="3" t="inlineStr">
        <is>
          <t>toan1-kntt-b09-q3</t>
        </is>
      </c>
      <c r="B73" s="3" t="inlineStr">
        <is>
          <t>Toán</t>
        </is>
      </c>
      <c r="C73" s="3" t="inlineStr">
        <is>
          <t>Kết nối tri thức</t>
        </is>
      </c>
      <c r="D73" s="3" t="inlineStr">
        <is>
          <t>Bài 9</t>
        </is>
      </c>
      <c r="E73" s="3" t="inlineStr">
        <is>
          <t>Chủ đề 2. Làm quen với một số hình phẳng</t>
        </is>
      </c>
      <c r="F73" s="3" t="inlineStr">
        <is>
          <t>Bài 9. Luyện tập chung</t>
        </is>
      </c>
      <c r="G73" s="3" t="inlineStr">
        <is>
          <t>Chọn nhiều đáp án</t>
        </is>
      </c>
      <c r="H73" s="14" t="n">
        <v>2</v>
      </c>
      <c r="I73" s="3" t="inlineStr">
        <is>
          <t>Cơ bản</t>
        </is>
      </c>
      <c r="J73" s="3" t="inlineStr">
        <is>
          <t>Chọn TẤT CẢ hình có 4 cạnh</t>
        </is>
      </c>
      <c r="K73" s="3" t="inlineStr">
        <is>
          <t>A. Hình vuông | B. Hình tròn | C. Hình chữ nhật | D. Hình tam giác</t>
        </is>
      </c>
      <c r="L73" s="3" t="inlineStr">
        <is>
          <t>A, C</t>
        </is>
      </c>
      <c r="M73" s="3" t="inlineStr">
        <is>
          <t>Hình vuông và hình chữ nhật đều có 4 cạnh.</t>
        </is>
      </c>
      <c r="N73" s="3" t="n"/>
      <c r="O73" s="14" t="n">
        <v>50</v>
      </c>
      <c r="P73" s="14">
        <f>INDEX(Khung_cap_do!$H$2:$H$6,H73)</f>
        <v/>
      </c>
      <c r="Q73" s="3" t="inlineStr">
        <is>
          <t>T1.HH.02</t>
        </is>
      </c>
      <c r="R73" s="3" t="inlineStr">
        <is>
          <t>TOAN.HINH</t>
        </is>
      </c>
    </row>
    <row r="74">
      <c r="A74" s="3" t="inlineStr">
        <is>
          <t>toan1-kntt-b09-q4</t>
        </is>
      </c>
      <c r="B74" s="3" t="inlineStr">
        <is>
          <t>Toán</t>
        </is>
      </c>
      <c r="C74" s="3" t="inlineStr">
        <is>
          <t>Kết nối tri thức</t>
        </is>
      </c>
      <c r="D74" s="3" t="inlineStr">
        <is>
          <t>Bài 9</t>
        </is>
      </c>
      <c r="E74" s="3" t="inlineStr">
        <is>
          <t>Chủ đề 2. Làm quen với một số hình phẳng</t>
        </is>
      </c>
      <c r="F74" s="3" t="inlineStr">
        <is>
          <t>Bài 9. Luyện tập chung</t>
        </is>
      </c>
      <c r="G74" s="3" t="inlineStr">
        <is>
          <t>Chọn đáp án</t>
        </is>
      </c>
      <c r="H74" s="14" t="n">
        <v>2</v>
      </c>
      <c r="I74" s="3" t="inlineStr">
        <is>
          <t>Cơ bản</t>
        </is>
      </c>
      <c r="J74" s="3" t="inlineStr">
        <is>
          <t>Hình nào KHÔNG có góc?</t>
        </is>
      </c>
      <c r="K74" s="3" t="inlineStr">
        <is>
          <t>A. Hình tròn | B. Hình vuông | C. Hình tam giác</t>
        </is>
      </c>
      <c r="L74" s="3" t="inlineStr">
        <is>
          <t>A</t>
        </is>
      </c>
      <c r="M74" s="3" t="inlineStr">
        <is>
          <t>Hình tròn không có cạnh thẳng, không có góc.</t>
        </is>
      </c>
      <c r="N74" s="3" t="n"/>
      <c r="O74" s="14" t="n">
        <v>40</v>
      </c>
      <c r="P74" s="14">
        <f>INDEX(Khung_cap_do!$H$2:$H$6,H74)</f>
        <v/>
      </c>
      <c r="Q74" s="3" t="inlineStr">
        <is>
          <t>T1.HH.02</t>
        </is>
      </c>
      <c r="R74" s="3" t="inlineStr">
        <is>
          <t>TOAN.HINH</t>
        </is>
      </c>
    </row>
    <row r="75">
      <c r="A75" s="3" t="inlineStr">
        <is>
          <t>toan1-kntt-b09-q5</t>
        </is>
      </c>
      <c r="B75" s="3" t="inlineStr">
        <is>
          <t>Toán</t>
        </is>
      </c>
      <c r="C75" s="3" t="inlineStr">
        <is>
          <t>Kết nối tri thức</t>
        </is>
      </c>
      <c r="D75" s="3" t="inlineStr">
        <is>
          <t>Bài 9</t>
        </is>
      </c>
      <c r="E75" s="3" t="inlineStr">
        <is>
          <t>Chủ đề 2. Làm quen với một số hình phẳng</t>
        </is>
      </c>
      <c r="F75" s="3" t="inlineStr">
        <is>
          <t>Bài 9. Luyện tập chung</t>
        </is>
      </c>
      <c r="G75" s="3" t="inlineStr">
        <is>
          <t>Đúng / Sai</t>
        </is>
      </c>
      <c r="H75" s="14" t="n">
        <v>2</v>
      </c>
      <c r="I75" s="3" t="inlineStr">
        <is>
          <t>Cơ bản</t>
        </is>
      </c>
      <c r="J75" s="3" t="inlineStr">
        <is>
          <t>Xếp 1 hình tam giác cần 4 que tính. Đúng hay sai?</t>
        </is>
      </c>
      <c r="K75" s="3" t="inlineStr">
        <is>
          <t>A. Đúng | B. Sai</t>
        </is>
      </c>
      <c r="L75" s="3" t="inlineStr">
        <is>
          <t>B</t>
        </is>
      </c>
      <c r="M75" s="3" t="inlineStr">
        <is>
          <t>Hình tam giác chỉ cần 3 que tính.</t>
        </is>
      </c>
      <c r="N75" s="3" t="n"/>
      <c r="O75" s="14" t="n">
        <v>40</v>
      </c>
      <c r="P75" s="14">
        <f>INDEX(Khung_cap_do!$H$2:$H$6,H75)</f>
        <v/>
      </c>
      <c r="Q75" s="3" t="inlineStr">
        <is>
          <t>T1.HH.04</t>
        </is>
      </c>
      <c r="R75" s="3" t="inlineStr">
        <is>
          <t>TOAN.DUNGSAI</t>
        </is>
      </c>
    </row>
    <row r="76">
      <c r="A76" s="3" t="inlineStr">
        <is>
          <t>toan1-kntt-b09-q6</t>
        </is>
      </c>
      <c r="B76" s="3" t="inlineStr">
        <is>
          <t>Toán</t>
        </is>
      </c>
      <c r="C76" s="3" t="inlineStr">
        <is>
          <t>Kết nối tri thức</t>
        </is>
      </c>
      <c r="D76" s="3" t="inlineStr">
        <is>
          <t>Bài 9</t>
        </is>
      </c>
      <c r="E76" s="3" t="inlineStr">
        <is>
          <t>Chủ đề 2. Làm quen với một số hình phẳng</t>
        </is>
      </c>
      <c r="F76" s="3" t="inlineStr">
        <is>
          <t>Bài 9. Luyện tập chung</t>
        </is>
      </c>
      <c r="G76" s="3" t="inlineStr">
        <is>
          <t>Chọn đáp án</t>
        </is>
      </c>
      <c r="H76" s="14" t="n">
        <v>3</v>
      </c>
      <c r="I76" s="3" t="inlineStr">
        <is>
          <t>Vận dụng</t>
        </is>
      </c>
      <c r="J76" s="3" t="inlineStr">
        <is>
          <t>🟥🟦🟥🟦🟥 ... Hình tiếp theo là hình nào?</t>
        </is>
      </c>
      <c r="K76" s="3" t="inlineStr">
        <is>
          <t>A. 🟥 | B. 🟦 | C. 🔺</t>
        </is>
      </c>
      <c r="L76" s="3" t="inlineStr">
        <is>
          <t>B</t>
        </is>
      </c>
      <c r="M76" s="3" t="inlineStr">
        <is>
          <t>Các hình xếp xen kẽ đỏ, xanh, đỏ, xanh... nên tiếp theo là hình xanh.</t>
        </is>
      </c>
      <c r="N76" s="3" t="inlineStr">
        <is>
          <t>Nhìn quy luật: đỏ – xanh – đỏ – xanh – đỏ. Sau hình đỏ luôn là hình xanh, nên hình tiếp theo là 🟦.</t>
        </is>
      </c>
      <c r="O76" s="14" t="n">
        <v>50</v>
      </c>
      <c r="P76" s="14">
        <f>INDEX(Khung_cap_do!$H$2:$H$6,H76)</f>
        <v/>
      </c>
      <c r="Q76" s="3" t="inlineStr">
        <is>
          <t>T1.HH.04</t>
        </is>
      </c>
      <c r="R76" s="3" t="inlineStr">
        <is>
          <t>TOAN.HINH</t>
        </is>
      </c>
    </row>
    <row r="77">
      <c r="A77" s="3" t="inlineStr">
        <is>
          <t>toan1-kntt-b10-q1</t>
        </is>
      </c>
      <c r="B77" s="3" t="inlineStr">
        <is>
          <t>Toán</t>
        </is>
      </c>
      <c r="C77" s="3" t="inlineStr">
        <is>
          <t>Kết nối tri thức</t>
        </is>
      </c>
      <c r="D77" s="3" t="inlineStr">
        <is>
          <t>Bài 10</t>
        </is>
      </c>
      <c r="E77" s="3" t="inlineStr">
        <is>
          <t>Chủ đề 3. Phép cộng, phép trừ trong phạm vi 10</t>
        </is>
      </c>
      <c r="F77" s="3" t="inlineStr">
        <is>
          <t>Bài 10. Phép cộng trong phạm vi 10</t>
        </is>
      </c>
      <c r="G77" s="3" t="inlineStr">
        <is>
          <t>Chọn đáp án</t>
        </is>
      </c>
      <c r="H77" s="14" t="n">
        <v>1</v>
      </c>
      <c r="I77" s="3" t="inlineStr">
        <is>
          <t>Làm quen</t>
        </is>
      </c>
      <c r="J77" s="3" t="inlineStr">
        <is>
          <t>🐥🐥 thêm 🐥🐥🐥
Có tất cả mấy con gà con?</t>
        </is>
      </c>
      <c r="K77" s="3" t="inlineStr">
        <is>
          <t>A. 4 | B. 5 | C. 6</t>
        </is>
      </c>
      <c r="L77" s="3" t="inlineStr">
        <is>
          <t>B</t>
        </is>
      </c>
      <c r="M77" s="3" t="inlineStr">
        <is>
          <t>2 thêm 3 là 5: 2 + 3 = 5.</t>
        </is>
      </c>
      <c r="N77" s="3" t="n"/>
      <c r="O77" s="14" t="n">
        <v>30</v>
      </c>
      <c r="P77" s="14">
        <f>INDEX(Khung_cap_do!$H$2:$H$6,H77)</f>
        <v/>
      </c>
      <c r="Q77" s="3" t="inlineStr">
        <is>
          <t>T1.PT.01</t>
        </is>
      </c>
      <c r="R77" s="3" t="inlineStr">
        <is>
          <t>TOAN.TINH</t>
        </is>
      </c>
    </row>
    <row r="78">
      <c r="A78" s="3" t="inlineStr">
        <is>
          <t>toan1-kntt-b10-q2</t>
        </is>
      </c>
      <c r="B78" s="3" t="inlineStr">
        <is>
          <t>Toán</t>
        </is>
      </c>
      <c r="C78" s="3" t="inlineStr">
        <is>
          <t>Kết nối tri thức</t>
        </is>
      </c>
      <c r="D78" s="3" t="inlineStr">
        <is>
          <t>Bài 10</t>
        </is>
      </c>
      <c r="E78" s="3" t="inlineStr">
        <is>
          <t>Chủ đề 3. Phép cộng, phép trừ trong phạm vi 10</t>
        </is>
      </c>
      <c r="F78" s="3" t="inlineStr">
        <is>
          <t>Bài 10. Phép cộng trong phạm vi 10</t>
        </is>
      </c>
      <c r="G78" s="3" t="inlineStr">
        <is>
          <t>Điền đáp án</t>
        </is>
      </c>
      <c r="H78" s="14" t="n">
        <v>1</v>
      </c>
      <c r="I78" s="3" t="inlineStr">
        <is>
          <t>Làm quen</t>
        </is>
      </c>
      <c r="J78" s="3" t="inlineStr">
        <is>
          <t>3 + 4 = ...</t>
        </is>
      </c>
      <c r="K78" s="3" t="inlineStr"/>
      <c r="L78" s="3" t="inlineStr">
        <is>
          <t>7</t>
        </is>
      </c>
      <c r="M78" s="3" t="inlineStr">
        <is>
          <t>3 + 4 = 7.</t>
        </is>
      </c>
      <c r="N78" s="3" t="inlineStr">
        <is>
          <t>Bắt đầu từ 4 (số lớn hơn), đếm thêm 3: 5, 6, 7. Vậy 3 + 4 = 7.</t>
        </is>
      </c>
      <c r="O78" s="14" t="n">
        <v>40</v>
      </c>
      <c r="P78" s="14">
        <f>INDEX(Khung_cap_do!$H$2:$H$6,H78)</f>
        <v/>
      </c>
      <c r="Q78" s="3" t="inlineStr">
        <is>
          <t>T1.PT.02</t>
        </is>
      </c>
      <c r="R78" s="3" t="inlineStr">
        <is>
          <t>TOAN.TINH</t>
        </is>
      </c>
    </row>
    <row r="79">
      <c r="A79" s="3" t="inlineStr">
        <is>
          <t>toan1-kntt-b10-q3</t>
        </is>
      </c>
      <c r="B79" s="3" t="inlineStr">
        <is>
          <t>Toán</t>
        </is>
      </c>
      <c r="C79" s="3" t="inlineStr">
        <is>
          <t>Kết nối tri thức</t>
        </is>
      </c>
      <c r="D79" s="3" t="inlineStr">
        <is>
          <t>Bài 10</t>
        </is>
      </c>
      <c r="E79" s="3" t="inlineStr">
        <is>
          <t>Chủ đề 3. Phép cộng, phép trừ trong phạm vi 10</t>
        </is>
      </c>
      <c r="F79" s="3" t="inlineStr">
        <is>
          <t>Bài 10. Phép cộng trong phạm vi 10</t>
        </is>
      </c>
      <c r="G79" s="3" t="inlineStr">
        <is>
          <t>Điền đáp án</t>
        </is>
      </c>
      <c r="H79" s="14" t="n">
        <v>2</v>
      </c>
      <c r="I79" s="3" t="inlineStr">
        <is>
          <t>Cơ bản</t>
        </is>
      </c>
      <c r="J79" s="3" t="inlineStr">
        <is>
          <t>5 + 0 = ...</t>
        </is>
      </c>
      <c r="K79" s="3" t="inlineStr"/>
      <c r="L79" s="3" t="inlineStr">
        <is>
          <t>5</t>
        </is>
      </c>
      <c r="M79" s="3" t="inlineStr">
        <is>
          <t>Số nào cộng với 0 cũng bằng chính số đó.</t>
        </is>
      </c>
      <c r="N79" s="3" t="n"/>
      <c r="O79" s="14" t="n">
        <v>50</v>
      </c>
      <c r="P79" s="14">
        <f>INDEX(Khung_cap_do!$H$2:$H$6,H79)</f>
        <v/>
      </c>
      <c r="Q79" s="3" t="inlineStr">
        <is>
          <t>T1.PT.02</t>
        </is>
      </c>
      <c r="R79" s="3" t="inlineStr">
        <is>
          <t>TOAN.TINH</t>
        </is>
      </c>
    </row>
    <row r="80">
      <c r="A80" s="3" t="inlineStr">
        <is>
          <t>toan1-kntt-b10-q4</t>
        </is>
      </c>
      <c r="B80" s="3" t="inlineStr">
        <is>
          <t>Toán</t>
        </is>
      </c>
      <c r="C80" s="3" t="inlineStr">
        <is>
          <t>Kết nối tri thức</t>
        </is>
      </c>
      <c r="D80" s="3" t="inlineStr">
        <is>
          <t>Bài 10</t>
        </is>
      </c>
      <c r="E80" s="3" t="inlineStr">
        <is>
          <t>Chủ đề 3. Phép cộng, phép trừ trong phạm vi 10</t>
        </is>
      </c>
      <c r="F80" s="3" t="inlineStr">
        <is>
          <t>Bài 10. Phép cộng trong phạm vi 10</t>
        </is>
      </c>
      <c r="G80" s="3" t="inlineStr">
        <is>
          <t>Chọn đáp án</t>
        </is>
      </c>
      <c r="H80" s="14" t="n">
        <v>2</v>
      </c>
      <c r="I80" s="3" t="inlineStr">
        <is>
          <t>Cơ bản</t>
        </is>
      </c>
      <c r="J80" s="3" t="inlineStr">
        <is>
          <t>Phép tính nào có kết quả bằng 6?</t>
        </is>
      </c>
      <c r="K80" s="3" t="inlineStr">
        <is>
          <t>A. 2 + 4 | B. 3 + 2 | C. 5 + 2</t>
        </is>
      </c>
      <c r="L80" s="3" t="inlineStr">
        <is>
          <t>A</t>
        </is>
      </c>
      <c r="M80" s="3" t="inlineStr">
        <is>
          <t>2 + 4 = 6; 3 + 2 = 5; 5 + 2 = 7.</t>
        </is>
      </c>
      <c r="N80" s="3" t="n"/>
      <c r="O80" s="14" t="n">
        <v>40</v>
      </c>
      <c r="P80" s="14">
        <f>INDEX(Khung_cap_do!$H$2:$H$6,H80)</f>
        <v/>
      </c>
      <c r="Q80" s="3" t="inlineStr">
        <is>
          <t>T1.PT.02</t>
        </is>
      </c>
      <c r="R80" s="3" t="inlineStr">
        <is>
          <t>TOAN.TINH</t>
        </is>
      </c>
    </row>
    <row r="81">
      <c r="A81" s="3" t="inlineStr">
        <is>
          <t>toan1-kntt-b10-q5</t>
        </is>
      </c>
      <c r="B81" s="3" t="inlineStr">
        <is>
          <t>Toán</t>
        </is>
      </c>
      <c r="C81" s="3" t="inlineStr">
        <is>
          <t>Kết nối tri thức</t>
        </is>
      </c>
      <c r="D81" s="3" t="inlineStr">
        <is>
          <t>Bài 10</t>
        </is>
      </c>
      <c r="E81" s="3" t="inlineStr">
        <is>
          <t>Chủ đề 3. Phép cộng, phép trừ trong phạm vi 10</t>
        </is>
      </c>
      <c r="F81" s="3" t="inlineStr">
        <is>
          <t>Bài 10. Phép cộng trong phạm vi 10</t>
        </is>
      </c>
      <c r="G81" s="3" t="inlineStr">
        <is>
          <t>Đúng / Sai</t>
        </is>
      </c>
      <c r="H81" s="14" t="n">
        <v>1</v>
      </c>
      <c r="I81" s="3" t="inlineStr">
        <is>
          <t>Làm quen</t>
        </is>
      </c>
      <c r="J81" s="3" t="inlineStr">
        <is>
          <t>1 + 7 = 8. Đúng hay sai?</t>
        </is>
      </c>
      <c r="K81" s="3" t="inlineStr">
        <is>
          <t>A. Đúng | B. Sai</t>
        </is>
      </c>
      <c r="L81" s="3" t="inlineStr">
        <is>
          <t>A</t>
        </is>
      </c>
      <c r="M81" s="3" t="inlineStr">
        <is>
          <t>Từ 7 đếm thêm 1 được 8.</t>
        </is>
      </c>
      <c r="N81" s="3" t="n"/>
      <c r="O81" s="14" t="n">
        <v>30</v>
      </c>
      <c r="P81" s="14">
        <f>INDEX(Khung_cap_do!$H$2:$H$6,H81)</f>
        <v/>
      </c>
      <c r="Q81" s="3" t="inlineStr">
        <is>
          <t>T1.PT.02</t>
        </is>
      </c>
      <c r="R81" s="3" t="inlineStr">
        <is>
          <t>TOAN.DUNGSAI</t>
        </is>
      </c>
    </row>
    <row r="82">
      <c r="A82" s="3" t="inlineStr">
        <is>
          <t>toan1-kntt-b10-q6</t>
        </is>
      </c>
      <c r="B82" s="3" t="inlineStr">
        <is>
          <t>Toán</t>
        </is>
      </c>
      <c r="C82" s="3" t="inlineStr">
        <is>
          <t>Kết nối tri thức</t>
        </is>
      </c>
      <c r="D82" s="3" t="inlineStr">
        <is>
          <t>Bài 10</t>
        </is>
      </c>
      <c r="E82" s="3" t="inlineStr">
        <is>
          <t>Chủ đề 3. Phép cộng, phép trừ trong phạm vi 10</t>
        </is>
      </c>
      <c r="F82" s="3" t="inlineStr">
        <is>
          <t>Bài 10. Phép cộng trong phạm vi 10</t>
        </is>
      </c>
      <c r="G82" s="3" t="inlineStr">
        <is>
          <t>Điền đáp án</t>
        </is>
      </c>
      <c r="H82" s="14" t="n">
        <v>2</v>
      </c>
      <c r="I82" s="3" t="inlineStr">
        <is>
          <t>Cơ bản</t>
        </is>
      </c>
      <c r="J82" s="3" t="inlineStr">
        <is>
          <t>4 + ... = 9</t>
        </is>
      </c>
      <c r="K82" s="3" t="inlineStr"/>
      <c r="L82" s="3" t="inlineStr">
        <is>
          <t>5</t>
        </is>
      </c>
      <c r="M82" s="3" t="inlineStr">
        <is>
          <t>9 gồm 4 và 5, nên 4 + 5 = 9.</t>
        </is>
      </c>
      <c r="N82" s="3" t="inlineStr">
        <is>
          <t>Từ 4 đếm tiếp đến 9: 5, 6, 7, 8, 9 là 5 lần. Số cần điền là 5.</t>
        </is>
      </c>
      <c r="O82" s="14" t="n">
        <v>50</v>
      </c>
      <c r="P82" s="14">
        <f>INDEX(Khung_cap_do!$H$2:$H$6,H82)</f>
        <v/>
      </c>
      <c r="Q82" s="3" t="inlineStr">
        <is>
          <t>T1.PT.02</t>
        </is>
      </c>
      <c r="R82" s="3" t="inlineStr">
        <is>
          <t>TOAN.SOTHIEU</t>
        </is>
      </c>
    </row>
    <row r="83">
      <c r="A83" s="3" t="inlineStr">
        <is>
          <t>toan1-kntt-b10-q7</t>
        </is>
      </c>
      <c r="B83" s="3" t="inlineStr">
        <is>
          <t>Toán</t>
        </is>
      </c>
      <c r="C83" s="3" t="inlineStr">
        <is>
          <t>Kết nối tri thức</t>
        </is>
      </c>
      <c r="D83" s="3" t="inlineStr">
        <is>
          <t>Bài 10</t>
        </is>
      </c>
      <c r="E83" s="3" t="inlineStr">
        <is>
          <t>Chủ đề 3. Phép cộng, phép trừ trong phạm vi 10</t>
        </is>
      </c>
      <c r="F83" s="3" t="inlineStr">
        <is>
          <t>Bài 10. Phép cộng trong phạm vi 10</t>
        </is>
      </c>
      <c r="G83" s="3" t="inlineStr">
        <is>
          <t>Ghép cặp</t>
        </is>
      </c>
      <c r="H83" s="14" t="n">
        <v>2</v>
      </c>
      <c r="I83" s="3" t="inlineStr">
        <is>
          <t>Cơ bản</t>
        </is>
      </c>
      <c r="J83" s="3" t="inlineStr">
        <is>
          <t>Ghép phép tính với kết quả</t>
        </is>
      </c>
      <c r="K83" s="3" t="inlineStr">
        <is>
          <t>2 + 2 ↔ ? / 6 + 3 ↔ ? / 1 + 5 ↔ ?</t>
        </is>
      </c>
      <c r="L83" s="3" t="inlineStr">
        <is>
          <t>2 + 2 – 4; 6 + 3 – 9; 1 + 5 – 6</t>
        </is>
      </c>
      <c r="M83" s="3" t="inlineStr">
        <is>
          <t>2 + 2 = 4; 6 + 3 = 9; 1 + 5 = 6.</t>
        </is>
      </c>
      <c r="N83" s="3" t="n"/>
      <c r="O83" s="14" t="n">
        <v>55</v>
      </c>
      <c r="P83" s="14">
        <f>INDEX(Khung_cap_do!$H$2:$H$6,H83)</f>
        <v/>
      </c>
      <c r="Q83" s="3" t="inlineStr">
        <is>
          <t>T1.PT.02</t>
        </is>
      </c>
      <c r="R83" s="3" t="inlineStr">
        <is>
          <t>TOAN.TINH</t>
        </is>
      </c>
    </row>
    <row r="84">
      <c r="A84" s="3" t="inlineStr">
        <is>
          <t>toan1-kntt-b10-q8</t>
        </is>
      </c>
      <c r="B84" s="3" t="inlineStr">
        <is>
          <t>Toán</t>
        </is>
      </c>
      <c r="C84" s="3" t="inlineStr">
        <is>
          <t>Kết nối tri thức</t>
        </is>
      </c>
      <c r="D84" s="3" t="inlineStr">
        <is>
          <t>Bài 10</t>
        </is>
      </c>
      <c r="E84" s="3" t="inlineStr">
        <is>
          <t>Chủ đề 3. Phép cộng, phép trừ trong phạm vi 10</t>
        </is>
      </c>
      <c r="F84" s="3" t="inlineStr">
        <is>
          <t>Bài 10. Phép cộng trong phạm vi 10</t>
        </is>
      </c>
      <c r="G84" s="3" t="inlineStr">
        <is>
          <t>Đúng / Sai</t>
        </is>
      </c>
      <c r="H84" s="14" t="n">
        <v>2</v>
      </c>
      <c r="I84" s="3" t="inlineStr">
        <is>
          <t>Cơ bản</t>
        </is>
      </c>
      <c r="J84" s="3" t="inlineStr">
        <is>
          <t>4 + 5 = 5 + 4. Đúng hay sai?</t>
        </is>
      </c>
      <c r="K84" s="3" t="inlineStr">
        <is>
          <t>A. Đúng | B. Sai</t>
        </is>
      </c>
      <c r="L84" s="3" t="inlineStr">
        <is>
          <t>A</t>
        </is>
      </c>
      <c r="M84" s="3" t="inlineStr">
        <is>
          <t>Đổi chỗ hai số trong phép cộng thì kết quả không đổi: đều bằng 9.</t>
        </is>
      </c>
      <c r="N84" s="3" t="n"/>
      <c r="O84" s="14" t="n">
        <v>40</v>
      </c>
      <c r="P84" s="14">
        <f>INDEX(Khung_cap_do!$H$2:$H$6,H84)</f>
        <v/>
      </c>
      <c r="Q84" s="3" t="inlineStr">
        <is>
          <t>T1.PT.02</t>
        </is>
      </c>
      <c r="R84" s="3" t="inlineStr">
        <is>
          <t>TOAN.DUNGSAI</t>
        </is>
      </c>
    </row>
    <row r="85">
      <c r="A85" s="3" t="inlineStr">
        <is>
          <t>toan1-kntt-b10-q9</t>
        </is>
      </c>
      <c r="B85" s="3" t="inlineStr">
        <is>
          <t>Toán</t>
        </is>
      </c>
      <c r="C85" s="3" t="inlineStr">
        <is>
          <t>Kết nối tri thức</t>
        </is>
      </c>
      <c r="D85" s="3" t="inlineStr">
        <is>
          <t>Bài 10</t>
        </is>
      </c>
      <c r="E85" s="3" t="inlineStr">
        <is>
          <t>Chủ đề 3. Phép cộng, phép trừ trong phạm vi 10</t>
        </is>
      </c>
      <c r="F85" s="3" t="inlineStr">
        <is>
          <t>Bài 10. Phép cộng trong phạm vi 10</t>
        </is>
      </c>
      <c r="G85" s="3" t="inlineStr">
        <is>
          <t>Điền đáp án</t>
        </is>
      </c>
      <c r="H85" s="14" t="n">
        <v>3</v>
      </c>
      <c r="I85" s="3" t="inlineStr">
        <is>
          <t>Vận dụng</t>
        </is>
      </c>
      <c r="J85" s="3" t="inlineStr">
        <is>
          <t>Trong vườn có 6 cây cam, bố trồng thêm 2 cây. Trong vườn có tất cả mấy cây cam?</t>
        </is>
      </c>
      <c r="K85" s="3" t="inlineStr"/>
      <c r="L85" s="3" t="inlineStr">
        <is>
          <t>8 / tám</t>
        </is>
      </c>
      <c r="M85" s="3" t="inlineStr">
        <is>
          <t>6 + 2 = 8 cây cam.</t>
        </is>
      </c>
      <c r="N85" s="3" t="inlineStr">
        <is>
          <t>"Trồng thêm" nghĩa là nhiều lên, ta làm phép cộng. Phép tính: 6 + 2 = 8. Trả lời: Trong vườn có tất cả 8 cây cam.</t>
        </is>
      </c>
      <c r="O85" s="14" t="n">
        <v>70</v>
      </c>
      <c r="P85" s="14">
        <f>INDEX(Khung_cap_do!$H$2:$H$6,H85)</f>
        <v/>
      </c>
      <c r="Q85" s="3" t="inlineStr">
        <is>
          <t>T1.PT.07</t>
        </is>
      </c>
      <c r="R85" s="3" t="inlineStr">
        <is>
          <t>TOAN.LOIVAN</t>
        </is>
      </c>
    </row>
    <row r="86">
      <c r="A86" s="3" t="inlineStr">
        <is>
          <t>toan1-kntt-b10-q10</t>
        </is>
      </c>
      <c r="B86" s="3" t="inlineStr">
        <is>
          <t>Toán</t>
        </is>
      </c>
      <c r="C86" s="3" t="inlineStr">
        <is>
          <t>Kết nối tri thức</t>
        </is>
      </c>
      <c r="D86" s="3" t="inlineStr">
        <is>
          <t>Bài 10</t>
        </is>
      </c>
      <c r="E86" s="3" t="inlineStr">
        <is>
          <t>Chủ đề 3. Phép cộng, phép trừ trong phạm vi 10</t>
        </is>
      </c>
      <c r="F86" s="3" t="inlineStr">
        <is>
          <t>Bài 10. Phép cộng trong phạm vi 10</t>
        </is>
      </c>
      <c r="G86" s="3" t="inlineStr">
        <is>
          <t>Chọn đáp án</t>
        </is>
      </c>
      <c r="H86" s="14" t="n">
        <v>3</v>
      </c>
      <c r="I86" s="3" t="inlineStr">
        <is>
          <t>Vận dụng</t>
        </is>
      </c>
      <c r="J86" s="3" t="inlineStr">
        <is>
          <t>Có 3 bạn đang chơi, thêm 4 bạn nữa chạy đến. Phép tính đúng là:</t>
        </is>
      </c>
      <c r="K86" s="3" t="inlineStr">
        <is>
          <t>A. 3 + 4 = 7 | B. 3 + 5 = 8 | C. 4 + 4 = 8</t>
        </is>
      </c>
      <c r="L86" s="3" t="inlineStr">
        <is>
          <t>A</t>
        </is>
      </c>
      <c r="M86" s="3" t="inlineStr">
        <is>
          <t>3 bạn thêm 4 bạn: 3 + 4 = 7.</t>
        </is>
      </c>
      <c r="N86" s="3" t="inlineStr">
        <is>
          <t>Có 3 bạn, thêm 4 bạn nữa nên làm phép cộng 3 + 4. Từ 4 đếm thêm 3: 5, 6, 7. Phép tính đúng là 3 + 4 = 7.</t>
        </is>
      </c>
      <c r="O86" s="14" t="n">
        <v>60</v>
      </c>
      <c r="P86" s="14">
        <f>INDEX(Khung_cap_do!$H$2:$H$6,H86)</f>
        <v/>
      </c>
      <c r="Q86" s="3" t="inlineStr">
        <is>
          <t>T1.PT.07</t>
        </is>
      </c>
      <c r="R86" s="3" t="inlineStr">
        <is>
          <t>TOAN.LOIVAN</t>
        </is>
      </c>
    </row>
    <row r="87">
      <c r="A87" s="3" t="inlineStr">
        <is>
          <t>toan1-kntt-b11-q1</t>
        </is>
      </c>
      <c r="B87" s="3" t="inlineStr">
        <is>
          <t>Toán</t>
        </is>
      </c>
      <c r="C87" s="3" t="inlineStr">
        <is>
          <t>Kết nối tri thức</t>
        </is>
      </c>
      <c r="D87" s="3" t="inlineStr">
        <is>
          <t>Bài 11</t>
        </is>
      </c>
      <c r="E87" s="3" t="inlineStr">
        <is>
          <t>Chủ đề 3. Phép cộng, phép trừ trong phạm vi 10</t>
        </is>
      </c>
      <c r="F87" s="3" t="inlineStr">
        <is>
          <t>Bài 11. Phép trừ trong phạm vi 10</t>
        </is>
      </c>
      <c r="G87" s="3" t="inlineStr">
        <is>
          <t>Chọn đáp án</t>
        </is>
      </c>
      <c r="H87" s="14" t="n">
        <v>1</v>
      </c>
      <c r="I87" s="3" t="inlineStr">
        <is>
          <t>Làm quen</t>
        </is>
      </c>
      <c r="J87" s="3" t="inlineStr">
        <is>
          <t>🎈🎈🎈🎈🎈
Bay mất 2 quả. Còn lại mấy quả bóng?</t>
        </is>
      </c>
      <c r="K87" s="3" t="inlineStr">
        <is>
          <t>A. 2 | B. 3 | C. 4</t>
        </is>
      </c>
      <c r="L87" s="3" t="inlineStr">
        <is>
          <t>B</t>
        </is>
      </c>
      <c r="M87" s="3" t="inlineStr">
        <is>
          <t>5 bớt 2 còn 3: 5 - 2 = 3.</t>
        </is>
      </c>
      <c r="N87" s="3" t="n"/>
      <c r="O87" s="14" t="n">
        <v>30</v>
      </c>
      <c r="P87" s="14">
        <f>INDEX(Khung_cap_do!$H$2:$H$6,H87)</f>
        <v/>
      </c>
      <c r="Q87" s="3" t="inlineStr">
        <is>
          <t>T1.PT.01</t>
        </is>
      </c>
      <c r="R87" s="3" t="inlineStr">
        <is>
          <t>TOAN.TINH</t>
        </is>
      </c>
    </row>
    <row r="88">
      <c r="A88" s="3" t="inlineStr">
        <is>
          <t>toan1-kntt-b11-q2</t>
        </is>
      </c>
      <c r="B88" s="3" t="inlineStr">
        <is>
          <t>Toán</t>
        </is>
      </c>
      <c r="C88" s="3" t="inlineStr">
        <is>
          <t>Kết nối tri thức</t>
        </is>
      </c>
      <c r="D88" s="3" t="inlineStr">
        <is>
          <t>Bài 11</t>
        </is>
      </c>
      <c r="E88" s="3" t="inlineStr">
        <is>
          <t>Chủ đề 3. Phép cộng, phép trừ trong phạm vi 10</t>
        </is>
      </c>
      <c r="F88" s="3" t="inlineStr">
        <is>
          <t>Bài 11. Phép trừ trong phạm vi 10</t>
        </is>
      </c>
      <c r="G88" s="3" t="inlineStr">
        <is>
          <t>Điền đáp án</t>
        </is>
      </c>
      <c r="H88" s="14" t="n">
        <v>1</v>
      </c>
      <c r="I88" s="3" t="inlineStr">
        <is>
          <t>Làm quen</t>
        </is>
      </c>
      <c r="J88" s="3" t="inlineStr">
        <is>
          <t>8 - 3 = ...</t>
        </is>
      </c>
      <c r="K88" s="3" t="inlineStr"/>
      <c r="L88" s="3" t="inlineStr">
        <is>
          <t>5</t>
        </is>
      </c>
      <c r="M88" s="3" t="inlineStr">
        <is>
          <t>8 - 3 = 5.</t>
        </is>
      </c>
      <c r="N88" s="3" t="inlineStr">
        <is>
          <t>Từ 8 đếm lùi 3 bước: 7, 6, 5. Vậy 8 - 3 = 5.</t>
        </is>
      </c>
      <c r="O88" s="14" t="n">
        <v>40</v>
      </c>
      <c r="P88" s="14">
        <f>INDEX(Khung_cap_do!$H$2:$H$6,H88)</f>
        <v/>
      </c>
      <c r="Q88" s="3" t="inlineStr">
        <is>
          <t>T1.PT.02</t>
        </is>
      </c>
      <c r="R88" s="3" t="inlineStr">
        <is>
          <t>TOAN.TINH</t>
        </is>
      </c>
    </row>
    <row r="89">
      <c r="A89" s="3" t="inlineStr">
        <is>
          <t>toan1-kntt-b11-q3</t>
        </is>
      </c>
      <c r="B89" s="3" t="inlineStr">
        <is>
          <t>Toán</t>
        </is>
      </c>
      <c r="C89" s="3" t="inlineStr">
        <is>
          <t>Kết nối tri thức</t>
        </is>
      </c>
      <c r="D89" s="3" t="inlineStr">
        <is>
          <t>Bài 11</t>
        </is>
      </c>
      <c r="E89" s="3" t="inlineStr">
        <is>
          <t>Chủ đề 3. Phép cộng, phép trừ trong phạm vi 10</t>
        </is>
      </c>
      <c r="F89" s="3" t="inlineStr">
        <is>
          <t>Bài 11. Phép trừ trong phạm vi 10</t>
        </is>
      </c>
      <c r="G89" s="3" t="inlineStr">
        <is>
          <t>Điền đáp án</t>
        </is>
      </c>
      <c r="H89" s="14" t="n">
        <v>2</v>
      </c>
      <c r="I89" s="3" t="inlineStr">
        <is>
          <t>Cơ bản</t>
        </is>
      </c>
      <c r="J89" s="3" t="inlineStr">
        <is>
          <t>6 - 6 = ...</t>
        </is>
      </c>
      <c r="K89" s="3" t="inlineStr"/>
      <c r="L89" s="3" t="inlineStr">
        <is>
          <t>0</t>
        </is>
      </c>
      <c r="M89" s="3" t="inlineStr">
        <is>
          <t>Một số trừ đi chính nó thì bằng 0.</t>
        </is>
      </c>
      <c r="N89" s="3" t="n"/>
      <c r="O89" s="14" t="n">
        <v>50</v>
      </c>
      <c r="P89" s="14">
        <f>INDEX(Khung_cap_do!$H$2:$H$6,H89)</f>
        <v/>
      </c>
      <c r="Q89" s="3" t="inlineStr">
        <is>
          <t>T1.PT.02</t>
        </is>
      </c>
      <c r="R89" s="3" t="inlineStr">
        <is>
          <t>TOAN.TINH</t>
        </is>
      </c>
    </row>
    <row r="90">
      <c r="A90" s="3" t="inlineStr">
        <is>
          <t>toan1-kntt-b11-q4</t>
        </is>
      </c>
      <c r="B90" s="3" t="inlineStr">
        <is>
          <t>Toán</t>
        </is>
      </c>
      <c r="C90" s="3" t="inlineStr">
        <is>
          <t>Kết nối tri thức</t>
        </is>
      </c>
      <c r="D90" s="3" t="inlineStr">
        <is>
          <t>Bài 11</t>
        </is>
      </c>
      <c r="E90" s="3" t="inlineStr">
        <is>
          <t>Chủ đề 3. Phép cộng, phép trừ trong phạm vi 10</t>
        </is>
      </c>
      <c r="F90" s="3" t="inlineStr">
        <is>
          <t>Bài 11. Phép trừ trong phạm vi 10</t>
        </is>
      </c>
      <c r="G90" s="3" t="inlineStr">
        <is>
          <t>Điền đáp án</t>
        </is>
      </c>
      <c r="H90" s="14" t="n">
        <v>2</v>
      </c>
      <c r="I90" s="3" t="inlineStr">
        <is>
          <t>Cơ bản</t>
        </is>
      </c>
      <c r="J90" s="3" t="inlineStr">
        <is>
          <t>7 - 0 = ...</t>
        </is>
      </c>
      <c r="K90" s="3" t="inlineStr"/>
      <c r="L90" s="3" t="inlineStr">
        <is>
          <t>7</t>
        </is>
      </c>
      <c r="M90" s="3" t="inlineStr">
        <is>
          <t>Trừ đi 0 thì số vẫn giữ nguyên.</t>
        </is>
      </c>
      <c r="N90" s="3" t="n"/>
      <c r="O90" s="14" t="n">
        <v>50</v>
      </c>
      <c r="P90" s="14">
        <f>INDEX(Khung_cap_do!$H$2:$H$6,H90)</f>
        <v/>
      </c>
      <c r="Q90" s="3" t="inlineStr">
        <is>
          <t>T1.PT.02</t>
        </is>
      </c>
      <c r="R90" s="3" t="inlineStr">
        <is>
          <t>TOAN.TINH</t>
        </is>
      </c>
    </row>
    <row r="91">
      <c r="A91" s="3" t="inlineStr">
        <is>
          <t>toan1-kntt-b11-q5</t>
        </is>
      </c>
      <c r="B91" s="3" t="inlineStr">
        <is>
          <t>Toán</t>
        </is>
      </c>
      <c r="C91" s="3" t="inlineStr">
        <is>
          <t>Kết nối tri thức</t>
        </is>
      </c>
      <c r="D91" s="3" t="inlineStr">
        <is>
          <t>Bài 11</t>
        </is>
      </c>
      <c r="E91" s="3" t="inlineStr">
        <is>
          <t>Chủ đề 3. Phép cộng, phép trừ trong phạm vi 10</t>
        </is>
      </c>
      <c r="F91" s="3" t="inlineStr">
        <is>
          <t>Bài 11. Phép trừ trong phạm vi 10</t>
        </is>
      </c>
      <c r="G91" s="3" t="inlineStr">
        <is>
          <t>Chọn đáp án</t>
        </is>
      </c>
      <c r="H91" s="14" t="n">
        <v>2</v>
      </c>
      <c r="I91" s="3" t="inlineStr">
        <is>
          <t>Cơ bản</t>
        </is>
      </c>
      <c r="J91" s="3" t="inlineStr">
        <is>
          <t>Phép tính nào có kết quả bằng 4?</t>
        </is>
      </c>
      <c r="K91" s="3" t="inlineStr">
        <is>
          <t>A. 9 - 5 | B. 8 - 3 | C. 6 - 1</t>
        </is>
      </c>
      <c r="L91" s="3" t="inlineStr">
        <is>
          <t>A</t>
        </is>
      </c>
      <c r="M91" s="3" t="inlineStr">
        <is>
          <t>9 - 5 = 4; 8 - 3 = 5; 6 - 1 = 5.</t>
        </is>
      </c>
      <c r="N91" s="3" t="n"/>
      <c r="O91" s="14" t="n">
        <v>40</v>
      </c>
      <c r="P91" s="14">
        <f>INDEX(Khung_cap_do!$H$2:$H$6,H91)</f>
        <v/>
      </c>
      <c r="Q91" s="3" t="inlineStr">
        <is>
          <t>T1.PT.02</t>
        </is>
      </c>
      <c r="R91" s="3" t="inlineStr">
        <is>
          <t>TOAN.TINH</t>
        </is>
      </c>
    </row>
    <row r="92">
      <c r="A92" s="3" t="inlineStr">
        <is>
          <t>toan1-kntt-b11-q6</t>
        </is>
      </c>
      <c r="B92" s="3" t="inlineStr">
        <is>
          <t>Toán</t>
        </is>
      </c>
      <c r="C92" s="3" t="inlineStr">
        <is>
          <t>Kết nối tri thức</t>
        </is>
      </c>
      <c r="D92" s="3" t="inlineStr">
        <is>
          <t>Bài 11</t>
        </is>
      </c>
      <c r="E92" s="3" t="inlineStr">
        <is>
          <t>Chủ đề 3. Phép cộng, phép trừ trong phạm vi 10</t>
        </is>
      </c>
      <c r="F92" s="3" t="inlineStr">
        <is>
          <t>Bài 11. Phép trừ trong phạm vi 10</t>
        </is>
      </c>
      <c r="G92" s="3" t="inlineStr">
        <is>
          <t>Điền đáp án</t>
        </is>
      </c>
      <c r="H92" s="14" t="n">
        <v>2</v>
      </c>
      <c r="I92" s="3" t="inlineStr">
        <is>
          <t>Cơ bản</t>
        </is>
      </c>
      <c r="J92" s="3" t="inlineStr">
        <is>
          <t>10 - ... = 6</t>
        </is>
      </c>
      <c r="K92" s="3" t="inlineStr"/>
      <c r="L92" s="3" t="inlineStr">
        <is>
          <t>4</t>
        </is>
      </c>
      <c r="M92" s="3" t="inlineStr">
        <is>
          <t>10 gồm 6 và 4, nên 10 - 4 = 6.</t>
        </is>
      </c>
      <c r="N92" s="3" t="n"/>
      <c r="O92" s="14" t="n">
        <v>50</v>
      </c>
      <c r="P92" s="14">
        <f>INDEX(Khung_cap_do!$H$2:$H$6,H92)</f>
        <v/>
      </c>
      <c r="Q92" s="3" t="inlineStr">
        <is>
          <t>T1.PT.02</t>
        </is>
      </c>
      <c r="R92" s="3" t="inlineStr">
        <is>
          <t>TOAN.SOTHIEU</t>
        </is>
      </c>
    </row>
    <row r="93">
      <c r="A93" s="3" t="inlineStr">
        <is>
          <t>toan1-kntt-b11-q7</t>
        </is>
      </c>
      <c r="B93" s="3" t="inlineStr">
        <is>
          <t>Toán</t>
        </is>
      </c>
      <c r="C93" s="3" t="inlineStr">
        <is>
          <t>Kết nối tri thức</t>
        </is>
      </c>
      <c r="D93" s="3" t="inlineStr">
        <is>
          <t>Bài 11</t>
        </is>
      </c>
      <c r="E93" s="3" t="inlineStr">
        <is>
          <t>Chủ đề 3. Phép cộng, phép trừ trong phạm vi 10</t>
        </is>
      </c>
      <c r="F93" s="3" t="inlineStr">
        <is>
          <t>Bài 11. Phép trừ trong phạm vi 10</t>
        </is>
      </c>
      <c r="G93" s="3" t="inlineStr">
        <is>
          <t>Ghép cặp</t>
        </is>
      </c>
      <c r="H93" s="14" t="n">
        <v>2</v>
      </c>
      <c r="I93" s="3" t="inlineStr">
        <is>
          <t>Cơ bản</t>
        </is>
      </c>
      <c r="J93" s="3" t="inlineStr">
        <is>
          <t>Ghép phép tính với kết quả</t>
        </is>
      </c>
      <c r="K93" s="3" t="inlineStr">
        <is>
          <t>9 - 2 ↔ ? / 5 - 4 ↔ ? / 10 - 7 ↔ ?</t>
        </is>
      </c>
      <c r="L93" s="3" t="inlineStr">
        <is>
          <t>9 - 2 – 7; 5 - 4 – 1; 10 - 7 – 3</t>
        </is>
      </c>
      <c r="M93" s="3" t="inlineStr">
        <is>
          <t>9 - 2 = 7; 5 - 4 = 1; 10 - 7 = 3.</t>
        </is>
      </c>
      <c r="N93" s="3" t="n"/>
      <c r="O93" s="14" t="n">
        <v>55</v>
      </c>
      <c r="P93" s="14">
        <f>INDEX(Khung_cap_do!$H$2:$H$6,H93)</f>
        <v/>
      </c>
      <c r="Q93" s="3" t="inlineStr">
        <is>
          <t>T1.PT.02</t>
        </is>
      </c>
      <c r="R93" s="3" t="inlineStr">
        <is>
          <t>TOAN.TINH</t>
        </is>
      </c>
    </row>
    <row r="94">
      <c r="A94" s="3" t="inlineStr">
        <is>
          <t>toan1-kntt-b11-q8</t>
        </is>
      </c>
      <c r="B94" s="3" t="inlineStr">
        <is>
          <t>Toán</t>
        </is>
      </c>
      <c r="C94" s="3" t="inlineStr">
        <is>
          <t>Kết nối tri thức</t>
        </is>
      </c>
      <c r="D94" s="3" t="inlineStr">
        <is>
          <t>Bài 11</t>
        </is>
      </c>
      <c r="E94" s="3" t="inlineStr">
        <is>
          <t>Chủ đề 3. Phép cộng, phép trừ trong phạm vi 10</t>
        </is>
      </c>
      <c r="F94" s="3" t="inlineStr">
        <is>
          <t>Bài 11. Phép trừ trong phạm vi 10</t>
        </is>
      </c>
      <c r="G94" s="3" t="inlineStr">
        <is>
          <t>Đúng / Sai</t>
        </is>
      </c>
      <c r="H94" s="14" t="n">
        <v>1</v>
      </c>
      <c r="I94" s="3" t="inlineStr">
        <is>
          <t>Làm quen</t>
        </is>
      </c>
      <c r="J94" s="3" t="inlineStr">
        <is>
          <t>7 - 2 = 4. Đúng hay sai?</t>
        </is>
      </c>
      <c r="K94" s="3" t="inlineStr">
        <is>
          <t>A. Đúng | B. Sai</t>
        </is>
      </c>
      <c r="L94" s="3" t="inlineStr">
        <is>
          <t>B</t>
        </is>
      </c>
      <c r="M94" s="3" t="inlineStr">
        <is>
          <t>7 - 2 = 5, không phải 4.</t>
        </is>
      </c>
      <c r="N94" s="3" t="n"/>
      <c r="O94" s="14" t="n">
        <v>30</v>
      </c>
      <c r="P94" s="14">
        <f>INDEX(Khung_cap_do!$H$2:$H$6,H94)</f>
        <v/>
      </c>
      <c r="Q94" s="3" t="inlineStr">
        <is>
          <t>T1.PT.02</t>
        </is>
      </c>
      <c r="R94" s="3" t="inlineStr">
        <is>
          <t>TOAN.DUNGSAI</t>
        </is>
      </c>
    </row>
    <row r="95">
      <c r="A95" s="3" t="inlineStr">
        <is>
          <t>toan1-kntt-b11-q9</t>
        </is>
      </c>
      <c r="B95" s="3" t="inlineStr">
        <is>
          <t>Toán</t>
        </is>
      </c>
      <c r="C95" s="3" t="inlineStr">
        <is>
          <t>Kết nối tri thức</t>
        </is>
      </c>
      <c r="D95" s="3" t="inlineStr">
        <is>
          <t>Bài 11</t>
        </is>
      </c>
      <c r="E95" s="3" t="inlineStr">
        <is>
          <t>Chủ đề 3. Phép cộng, phép trừ trong phạm vi 10</t>
        </is>
      </c>
      <c r="F95" s="3" t="inlineStr">
        <is>
          <t>Bài 11. Phép trừ trong phạm vi 10</t>
        </is>
      </c>
      <c r="G95" s="3" t="inlineStr">
        <is>
          <t>Điền đáp án</t>
        </is>
      </c>
      <c r="H95" s="14" t="n">
        <v>3</v>
      </c>
      <c r="I95" s="3" t="inlineStr">
        <is>
          <t>Vận dụng</t>
        </is>
      </c>
      <c r="J95" s="3" t="inlineStr">
        <is>
          <t>Mẹ mua 9 quả trứng, đã dùng 4 quả để làm bánh. Còn lại mấy quả trứng?</t>
        </is>
      </c>
      <c r="K95" s="3" t="inlineStr"/>
      <c r="L95" s="3" t="inlineStr">
        <is>
          <t>5 / năm</t>
        </is>
      </c>
      <c r="M95" s="3" t="inlineStr">
        <is>
          <t>9 - 4 = 5 quả trứng.</t>
        </is>
      </c>
      <c r="N95" s="3" t="inlineStr">
        <is>
          <t>"Đã dùng" nghĩa là bớt đi, ta làm phép trừ. Phép tính: 9 - 4 = 5. Trả lời: Còn lại 5 quả trứng.</t>
        </is>
      </c>
      <c r="O95" s="14" t="n">
        <v>70</v>
      </c>
      <c r="P95" s="14">
        <f>INDEX(Khung_cap_do!$H$2:$H$6,H95)</f>
        <v/>
      </c>
      <c r="Q95" s="3" t="inlineStr">
        <is>
          <t>T1.PT.07</t>
        </is>
      </c>
      <c r="R95" s="3" t="inlineStr">
        <is>
          <t>TOAN.LOIVAN</t>
        </is>
      </c>
    </row>
    <row r="96">
      <c r="A96" s="3" t="inlineStr">
        <is>
          <t>toan1-kntt-b11-q10</t>
        </is>
      </c>
      <c r="B96" s="3" t="inlineStr">
        <is>
          <t>Toán</t>
        </is>
      </c>
      <c r="C96" s="3" t="inlineStr">
        <is>
          <t>Kết nối tri thức</t>
        </is>
      </c>
      <c r="D96" s="3" t="inlineStr">
        <is>
          <t>Bài 11</t>
        </is>
      </c>
      <c r="E96" s="3" t="inlineStr">
        <is>
          <t>Chủ đề 3. Phép cộng, phép trừ trong phạm vi 10</t>
        </is>
      </c>
      <c r="F96" s="3" t="inlineStr">
        <is>
          <t>Bài 11. Phép trừ trong phạm vi 10</t>
        </is>
      </c>
      <c r="G96" s="3" t="inlineStr">
        <is>
          <t>Chọn đáp án</t>
        </is>
      </c>
      <c r="H96" s="14" t="n">
        <v>3</v>
      </c>
      <c r="I96" s="3" t="inlineStr">
        <is>
          <t>Vận dụng</t>
        </is>
      </c>
      <c r="J96" s="3" t="inlineStr">
        <is>
          <t>Trên cành có 8 con chim, 3 con bay đi. Phép tính đúng là:</t>
        </is>
      </c>
      <c r="K96" s="3" t="inlineStr">
        <is>
          <t>A. 8 - 3 = 5 | B. 8 - 5 = 3 | C. 8 - 3 = 4</t>
        </is>
      </c>
      <c r="L96" s="3" t="inlineStr">
        <is>
          <t>A</t>
        </is>
      </c>
      <c r="M96" s="3" t="inlineStr">
        <is>
          <t>Có 8 con, bay đi 3 con: 8 - 3 = 5.</t>
        </is>
      </c>
      <c r="N96" s="3" t="inlineStr">
        <is>
          <t>Bay đi là bớt đi nên làm phép trừ: lấy 8 trừ 3. Đếm lùi từ 8: 7, 6, 5. Vậy 8 - 3 = 5.</t>
        </is>
      </c>
      <c r="O96" s="14" t="n">
        <v>50</v>
      </c>
      <c r="P96" s="14">
        <f>INDEX(Khung_cap_do!$H$2:$H$6,H96)</f>
        <v/>
      </c>
      <c r="Q96" s="3" t="inlineStr">
        <is>
          <t>T1.PT.07</t>
        </is>
      </c>
      <c r="R96" s="3" t="inlineStr">
        <is>
          <t>TOAN.LOIVAN</t>
        </is>
      </c>
    </row>
    <row r="97">
      <c r="A97" s="3" t="inlineStr">
        <is>
          <t>toan1-kntt-b12-q1</t>
        </is>
      </c>
      <c r="B97" s="3" t="inlineStr">
        <is>
          <t>Toán</t>
        </is>
      </c>
      <c r="C97" s="3" t="inlineStr">
        <is>
          <t>Kết nối tri thức</t>
        </is>
      </c>
      <c r="D97" s="3" t="inlineStr">
        <is>
          <t>Bài 12</t>
        </is>
      </c>
      <c r="E97" s="3" t="inlineStr">
        <is>
          <t>Chủ đề 3. Phép cộng, phép trừ trong phạm vi 10</t>
        </is>
      </c>
      <c r="F97" s="3" t="inlineStr">
        <is>
          <t>Bài 12. Bảng cộng, bảng trừ trong phạm vi 10</t>
        </is>
      </c>
      <c r="G97" s="3" t="inlineStr">
        <is>
          <t>Điền đáp án</t>
        </is>
      </c>
      <c r="H97" s="14" t="n">
        <v>1</v>
      </c>
      <c r="I97" s="3" t="inlineStr">
        <is>
          <t>Làm quen</t>
        </is>
      </c>
      <c r="J97" s="3" t="inlineStr">
        <is>
          <t>2 + 8 = ...</t>
        </is>
      </c>
      <c r="K97" s="3" t="inlineStr"/>
      <c r="L97" s="3" t="inlineStr">
        <is>
          <t>10</t>
        </is>
      </c>
      <c r="M97" s="3" t="inlineStr">
        <is>
          <t>2 + 8 = 10.</t>
        </is>
      </c>
      <c r="N97" s="3" t="n"/>
      <c r="O97" s="14" t="n">
        <v>40</v>
      </c>
      <c r="P97" s="14">
        <f>INDEX(Khung_cap_do!$H$2:$H$6,H97)</f>
        <v/>
      </c>
      <c r="Q97" s="3" t="inlineStr">
        <is>
          <t>T1.PT.02</t>
        </is>
      </c>
      <c r="R97" s="3" t="inlineStr">
        <is>
          <t>TOAN.TINH</t>
        </is>
      </c>
    </row>
    <row r="98">
      <c r="A98" s="3" t="inlineStr">
        <is>
          <t>toan1-kntt-b12-q2</t>
        </is>
      </c>
      <c r="B98" s="3" t="inlineStr">
        <is>
          <t>Toán</t>
        </is>
      </c>
      <c r="C98" s="3" t="inlineStr">
        <is>
          <t>Kết nối tri thức</t>
        </is>
      </c>
      <c r="D98" s="3" t="inlineStr">
        <is>
          <t>Bài 12</t>
        </is>
      </c>
      <c r="E98" s="3" t="inlineStr">
        <is>
          <t>Chủ đề 3. Phép cộng, phép trừ trong phạm vi 10</t>
        </is>
      </c>
      <c r="F98" s="3" t="inlineStr">
        <is>
          <t>Bài 12. Bảng cộng, bảng trừ trong phạm vi 10</t>
        </is>
      </c>
      <c r="G98" s="3" t="inlineStr">
        <is>
          <t>Điền đáp án</t>
        </is>
      </c>
      <c r="H98" s="14" t="n">
        <v>1</v>
      </c>
      <c r="I98" s="3" t="inlineStr">
        <is>
          <t>Làm quen</t>
        </is>
      </c>
      <c r="J98" s="3" t="inlineStr">
        <is>
          <t>9 - 4 = ...</t>
        </is>
      </c>
      <c r="K98" s="3" t="inlineStr"/>
      <c r="L98" s="3" t="inlineStr">
        <is>
          <t>5</t>
        </is>
      </c>
      <c r="M98" s="3" t="inlineStr">
        <is>
          <t>9 - 4 = 5.</t>
        </is>
      </c>
      <c r="N98" s="3" t="n"/>
      <c r="O98" s="14" t="n">
        <v>40</v>
      </c>
      <c r="P98" s="14">
        <f>INDEX(Khung_cap_do!$H$2:$H$6,H98)</f>
        <v/>
      </c>
      <c r="Q98" s="3" t="inlineStr">
        <is>
          <t>T1.PT.02</t>
        </is>
      </c>
      <c r="R98" s="3" t="inlineStr">
        <is>
          <t>TOAN.TINH</t>
        </is>
      </c>
    </row>
    <row r="99">
      <c r="A99" s="3" t="inlineStr">
        <is>
          <t>toan1-kntt-b12-q3</t>
        </is>
      </c>
      <c r="B99" s="3" t="inlineStr">
        <is>
          <t>Toán</t>
        </is>
      </c>
      <c r="C99" s="3" t="inlineStr">
        <is>
          <t>Kết nối tri thức</t>
        </is>
      </c>
      <c r="D99" s="3" t="inlineStr">
        <is>
          <t>Bài 12</t>
        </is>
      </c>
      <c r="E99" s="3" t="inlineStr">
        <is>
          <t>Chủ đề 3. Phép cộng, phép trừ trong phạm vi 10</t>
        </is>
      </c>
      <c r="F99" s="3" t="inlineStr">
        <is>
          <t>Bài 12. Bảng cộng, bảng trừ trong phạm vi 10</t>
        </is>
      </c>
      <c r="G99" s="3" t="inlineStr">
        <is>
          <t>Chọn đáp án</t>
        </is>
      </c>
      <c r="H99" s="14" t="n">
        <v>2</v>
      </c>
      <c r="I99" s="3" t="inlineStr">
        <is>
          <t>Cơ bản</t>
        </is>
      </c>
      <c r="J99" s="3" t="inlineStr">
        <is>
          <t>Điền số: 3 + ... = 10</t>
        </is>
      </c>
      <c r="K99" s="3" t="inlineStr">
        <is>
          <t>A. 6 | B. 7 | C. 8</t>
        </is>
      </c>
      <c r="L99" s="3" t="inlineStr">
        <is>
          <t>B</t>
        </is>
      </c>
      <c r="M99" s="3" t="inlineStr">
        <is>
          <t>10 gồm 3 và 7.</t>
        </is>
      </c>
      <c r="N99" s="3" t="n"/>
      <c r="O99" s="14" t="n">
        <v>40</v>
      </c>
      <c r="P99" s="14">
        <f>INDEX(Khung_cap_do!$H$2:$H$6,H99)</f>
        <v/>
      </c>
      <c r="Q99" s="3" t="inlineStr">
        <is>
          <t>T1.PT.02</t>
        </is>
      </c>
      <c r="R99" s="3" t="inlineStr">
        <is>
          <t>TOAN.SOTHIEU</t>
        </is>
      </c>
    </row>
    <row r="100">
      <c r="A100" s="3" t="inlineStr">
        <is>
          <t>toan1-kntt-b12-q4</t>
        </is>
      </c>
      <c r="B100" s="3" t="inlineStr">
        <is>
          <t>Toán</t>
        </is>
      </c>
      <c r="C100" s="3" t="inlineStr">
        <is>
          <t>Kết nối tri thức</t>
        </is>
      </c>
      <c r="D100" s="3" t="inlineStr">
        <is>
          <t>Bài 12</t>
        </is>
      </c>
      <c r="E100" s="3" t="inlineStr">
        <is>
          <t>Chủ đề 3. Phép cộng, phép trừ trong phạm vi 10</t>
        </is>
      </c>
      <c r="F100" s="3" t="inlineStr">
        <is>
          <t>Bài 12. Bảng cộng, bảng trừ trong phạm vi 10</t>
        </is>
      </c>
      <c r="G100" s="3" t="inlineStr">
        <is>
          <t>Chọn nhiều đáp án</t>
        </is>
      </c>
      <c r="H100" s="14" t="n">
        <v>2</v>
      </c>
      <c r="I100" s="3" t="inlineStr">
        <is>
          <t>Cơ bản</t>
        </is>
      </c>
      <c r="J100" s="3" t="inlineStr">
        <is>
          <t>Chọn TẤT CẢ phép tính có kết quả bằng 10</t>
        </is>
      </c>
      <c r="K100" s="3" t="inlineStr">
        <is>
          <t>A. 4 + 6 | B. 7 + 2 | C. 5 + 5 | D. 8 + 1</t>
        </is>
      </c>
      <c r="L100" s="3" t="inlineStr">
        <is>
          <t>A, C</t>
        </is>
      </c>
      <c r="M100" s="3" t="inlineStr">
        <is>
          <t>4 + 6 = 10; 5 + 5 = 10; 7 + 2 = 9; 8 + 1 = 9.</t>
        </is>
      </c>
      <c r="N100" s="3" t="n"/>
      <c r="O100" s="14" t="n">
        <v>50</v>
      </c>
      <c r="P100" s="14">
        <f>INDEX(Khung_cap_do!$H$2:$H$6,H100)</f>
        <v/>
      </c>
      <c r="Q100" s="3" t="inlineStr">
        <is>
          <t>T1.PT.02</t>
        </is>
      </c>
      <c r="R100" s="3" t="inlineStr">
        <is>
          <t>TOAN.TINH</t>
        </is>
      </c>
    </row>
    <row r="101">
      <c r="A101" s="3" t="inlineStr">
        <is>
          <t>toan1-kntt-b12-q5</t>
        </is>
      </c>
      <c r="B101" s="3" t="inlineStr">
        <is>
          <t>Toán</t>
        </is>
      </c>
      <c r="C101" s="3" t="inlineStr">
        <is>
          <t>Kết nối tri thức</t>
        </is>
      </c>
      <c r="D101" s="3" t="inlineStr">
        <is>
          <t>Bài 12</t>
        </is>
      </c>
      <c r="E101" s="3" t="inlineStr">
        <is>
          <t>Chủ đề 3. Phép cộng, phép trừ trong phạm vi 10</t>
        </is>
      </c>
      <c r="F101" s="3" t="inlineStr">
        <is>
          <t>Bài 12. Bảng cộng, bảng trừ trong phạm vi 10</t>
        </is>
      </c>
      <c r="G101" s="3" t="inlineStr">
        <is>
          <t>Chọn đáp án</t>
        </is>
      </c>
      <c r="H101" s="14" t="n">
        <v>2</v>
      </c>
      <c r="I101" s="3" t="inlineStr">
        <is>
          <t>Cơ bản</t>
        </is>
      </c>
      <c r="J101" s="3" t="inlineStr">
        <is>
          <t>Từ phép cộng 3 + 5 = 8, ta có phép trừ nào đúng?</t>
        </is>
      </c>
      <c r="K101" s="3" t="inlineStr">
        <is>
          <t>A. 8 - 5 = 3 | B. 8 - 3 = 4 | C. 5 - 3 = 8</t>
        </is>
      </c>
      <c r="L101" s="3" t="inlineStr">
        <is>
          <t>A</t>
        </is>
      </c>
      <c r="M101" s="3" t="inlineStr">
        <is>
          <t>8 gồm 3 và 5, nên 8 - 5 = 3 và 8 - 3 = 5.</t>
        </is>
      </c>
      <c r="N101" s="3" t="inlineStr">
        <is>
          <t>Phép cộng 3 + 5 = 8 cho biết 8 gồm 3 và 5. Lấy 8 bớt đi 5 thì còn lại 3. Vậy 8 - 5 = 3.</t>
        </is>
      </c>
      <c r="O101" s="14" t="n">
        <v>40</v>
      </c>
      <c r="P101" s="14">
        <f>INDEX(Khung_cap_do!$H$2:$H$6,H101)</f>
        <v/>
      </c>
      <c r="Q101" s="3" t="inlineStr">
        <is>
          <t>T1.PT.02</t>
        </is>
      </c>
      <c r="R101" s="3" t="inlineStr">
        <is>
          <t>TOAN.TINH</t>
        </is>
      </c>
    </row>
    <row r="102">
      <c r="A102" s="3" t="inlineStr">
        <is>
          <t>toan1-kntt-b12-q6</t>
        </is>
      </c>
      <c r="B102" s="3" t="inlineStr">
        <is>
          <t>Toán</t>
        </is>
      </c>
      <c r="C102" s="3" t="inlineStr">
        <is>
          <t>Kết nối tri thức</t>
        </is>
      </c>
      <c r="D102" s="3" t="inlineStr">
        <is>
          <t>Bài 12</t>
        </is>
      </c>
      <c r="E102" s="3" t="inlineStr">
        <is>
          <t>Chủ đề 3. Phép cộng, phép trừ trong phạm vi 10</t>
        </is>
      </c>
      <c r="F102" s="3" t="inlineStr">
        <is>
          <t>Bài 12. Bảng cộng, bảng trừ trong phạm vi 10</t>
        </is>
      </c>
      <c r="G102" s="3" t="inlineStr">
        <is>
          <t>Điền đáp án</t>
        </is>
      </c>
      <c r="H102" s="14" t="n">
        <v>3</v>
      </c>
      <c r="I102" s="3" t="inlineStr">
        <is>
          <t>Vận dụng</t>
        </is>
      </c>
      <c r="J102" s="3" t="inlineStr">
        <is>
          <t>10 - 3 - 2 = ...</t>
        </is>
      </c>
      <c r="K102" s="3" t="inlineStr"/>
      <c r="L102" s="3" t="inlineStr">
        <is>
          <t>5</t>
        </is>
      </c>
      <c r="M102" s="3" t="inlineStr">
        <is>
          <t>Tính từ trái sang phải: 10 - 3 = 7, rồi 7 - 2 = 5.</t>
        </is>
      </c>
      <c r="N102" s="3" t="inlineStr">
        <is>
          <t>Làm lần lượt từ trái sang phải. Bước 1: 10 - 3 = 7. Bước 2: 7 - 2 = 5. Kết quả là 5.</t>
        </is>
      </c>
      <c r="O102" s="14" t="n">
        <v>60</v>
      </c>
      <c r="P102" s="14">
        <f>INDEX(Khung_cap_do!$H$2:$H$6,H102)</f>
        <v/>
      </c>
      <c r="Q102" s="3" t="inlineStr">
        <is>
          <t>T1.PT.06</t>
        </is>
      </c>
      <c r="R102" s="3" t="inlineStr">
        <is>
          <t>TOAN.TINH</t>
        </is>
      </c>
    </row>
    <row r="103">
      <c r="A103" s="3" t="inlineStr">
        <is>
          <t>toan1-kntt-b12-q7</t>
        </is>
      </c>
      <c r="B103" s="3" t="inlineStr">
        <is>
          <t>Toán</t>
        </is>
      </c>
      <c r="C103" s="3" t="inlineStr">
        <is>
          <t>Kết nối tri thức</t>
        </is>
      </c>
      <c r="D103" s="3" t="inlineStr">
        <is>
          <t>Bài 12</t>
        </is>
      </c>
      <c r="E103" s="3" t="inlineStr">
        <is>
          <t>Chủ đề 3. Phép cộng, phép trừ trong phạm vi 10</t>
        </is>
      </c>
      <c r="F103" s="3" t="inlineStr">
        <is>
          <t>Bài 12. Bảng cộng, bảng trừ trong phạm vi 10</t>
        </is>
      </c>
      <c r="G103" s="3" t="inlineStr">
        <is>
          <t>Đúng / Sai</t>
        </is>
      </c>
      <c r="H103" s="14" t="n">
        <v>3</v>
      </c>
      <c r="I103" s="3" t="inlineStr">
        <is>
          <t>Vận dụng</t>
        </is>
      </c>
      <c r="J103" s="3" t="inlineStr">
        <is>
          <t>6 + 3 = 10 - 1. Đúng hay sai?</t>
        </is>
      </c>
      <c r="K103" s="3" t="inlineStr">
        <is>
          <t>A. Đúng | B. Sai</t>
        </is>
      </c>
      <c r="L103" s="3" t="inlineStr">
        <is>
          <t>A</t>
        </is>
      </c>
      <c r="M103" s="3" t="inlineStr">
        <is>
          <t>6 + 3 = 9 và 10 - 1 = 9, hai bên bằng nhau.</t>
        </is>
      </c>
      <c r="N103" s="3" t="inlineStr">
        <is>
          <t>Tính bên trái: 6 + 3 = 9. Tính bên phải: 10 - 1 = 9. Hai bên đều bằng 9 nên câu này đúng.</t>
        </is>
      </c>
      <c r="O103" s="14" t="n">
        <v>50</v>
      </c>
      <c r="P103" s="14">
        <f>INDEX(Khung_cap_do!$H$2:$H$6,H103)</f>
        <v/>
      </c>
      <c r="Q103" s="3" t="inlineStr">
        <is>
          <t>T1.PT.06</t>
        </is>
      </c>
      <c r="R103" s="3" t="inlineStr">
        <is>
          <t>TOAN.DUNGSAI</t>
        </is>
      </c>
    </row>
    <row r="104">
      <c r="A104" s="3" t="inlineStr">
        <is>
          <t>toan1-kntt-b12-q8</t>
        </is>
      </c>
      <c r="B104" s="3" t="inlineStr">
        <is>
          <t>Toán</t>
        </is>
      </c>
      <c r="C104" s="3" t="inlineStr">
        <is>
          <t>Kết nối tri thức</t>
        </is>
      </c>
      <c r="D104" s="3" t="inlineStr">
        <is>
          <t>Bài 12</t>
        </is>
      </c>
      <c r="E104" s="3" t="inlineStr">
        <is>
          <t>Chủ đề 3. Phép cộng, phép trừ trong phạm vi 10</t>
        </is>
      </c>
      <c r="F104" s="3" t="inlineStr">
        <is>
          <t>Bài 12. Bảng cộng, bảng trừ trong phạm vi 10</t>
        </is>
      </c>
      <c r="G104" s="3" t="inlineStr">
        <is>
          <t>Sắp xếp</t>
        </is>
      </c>
      <c r="H104" s="14" t="n">
        <v>3</v>
      </c>
      <c r="I104" s="3" t="inlineStr">
        <is>
          <t>Vận dụng</t>
        </is>
      </c>
      <c r="J104" s="3" t="inlineStr">
        <is>
          <t>Xếp các phép tính theo kết quả từ bé đến lớn</t>
        </is>
      </c>
      <c r="K104" s="3" t="inlineStr">
        <is>
          <t>2 + 1 / 5 + 4 / 6 - 0</t>
        </is>
      </c>
      <c r="L104" s="3" t="inlineStr">
        <is>
          <t>2 + 1 → 6 - 0 → 5 + 4</t>
        </is>
      </c>
      <c r="M104" s="3" t="inlineStr">
        <is>
          <t>2 + 1 = 3; 6 - 0 = 6; 5 + 4 = 9.</t>
        </is>
      </c>
      <c r="N104" s="3" t="inlineStr">
        <is>
          <t>Tính từng phép: 5 + 4 = 9, 2 + 1 = 3, 6 - 0 = 6. So sánh 3 &lt; 6 &lt; 9, nên thứ tự là 2 + 1, 6 - 0, 5 + 4.</t>
        </is>
      </c>
      <c r="O104" s="14" t="n">
        <v>65</v>
      </c>
      <c r="P104" s="14">
        <f>INDEX(Khung_cap_do!$H$2:$H$6,H104)</f>
        <v/>
      </c>
      <c r="Q104" s="3" t="inlineStr">
        <is>
          <t>T1.PT.02</t>
        </is>
      </c>
      <c r="R104" s="3" t="inlineStr">
        <is>
          <t>TOAN.SAPXEP</t>
        </is>
      </c>
    </row>
    <row r="105">
      <c r="A105" s="3" t="inlineStr">
        <is>
          <t>toan1-kntt-b13-q1</t>
        </is>
      </c>
      <c r="B105" s="3" t="inlineStr">
        <is>
          <t>Toán</t>
        </is>
      </c>
      <c r="C105" s="3" t="inlineStr">
        <is>
          <t>Kết nối tri thức</t>
        </is>
      </c>
      <c r="D105" s="3" t="inlineStr">
        <is>
          <t>Bài 13</t>
        </is>
      </c>
      <c r="E105" s="3" t="inlineStr">
        <is>
          <t>Chủ đề 3. Phép cộng, phép trừ trong phạm vi 10</t>
        </is>
      </c>
      <c r="F105" s="3" t="inlineStr">
        <is>
          <t>Bài 13. Luyện tập chung</t>
        </is>
      </c>
      <c r="G105" s="3" t="inlineStr">
        <is>
          <t>Điền đáp án</t>
        </is>
      </c>
      <c r="H105" s="14" t="n">
        <v>1</v>
      </c>
      <c r="I105" s="3" t="inlineStr">
        <is>
          <t>Làm quen</t>
        </is>
      </c>
      <c r="J105" s="3" t="inlineStr">
        <is>
          <t>6 + 4 = ...</t>
        </is>
      </c>
      <c r="K105" s="3" t="inlineStr"/>
      <c r="L105" s="3" t="inlineStr">
        <is>
          <t>10</t>
        </is>
      </c>
      <c r="M105" s="3" t="inlineStr">
        <is>
          <t>6 + 4 = 10.</t>
        </is>
      </c>
      <c r="N105" s="3" t="n"/>
      <c r="O105" s="14" t="n">
        <v>40</v>
      </c>
      <c r="P105" s="14">
        <f>INDEX(Khung_cap_do!$H$2:$H$6,H105)</f>
        <v/>
      </c>
      <c r="Q105" s="3" t="inlineStr">
        <is>
          <t>T1.PT.02</t>
        </is>
      </c>
      <c r="R105" s="3" t="inlineStr">
        <is>
          <t>TOAN.TINH</t>
        </is>
      </c>
    </row>
    <row r="106">
      <c r="A106" s="3" t="inlineStr">
        <is>
          <t>toan1-kntt-b13-q2</t>
        </is>
      </c>
      <c r="B106" s="3" t="inlineStr">
        <is>
          <t>Toán</t>
        </is>
      </c>
      <c r="C106" s="3" t="inlineStr">
        <is>
          <t>Kết nối tri thức</t>
        </is>
      </c>
      <c r="D106" s="3" t="inlineStr">
        <is>
          <t>Bài 13</t>
        </is>
      </c>
      <c r="E106" s="3" t="inlineStr">
        <is>
          <t>Chủ đề 3. Phép cộng, phép trừ trong phạm vi 10</t>
        </is>
      </c>
      <c r="F106" s="3" t="inlineStr">
        <is>
          <t>Bài 13. Luyện tập chung</t>
        </is>
      </c>
      <c r="G106" s="3" t="inlineStr">
        <is>
          <t>Điền đáp án</t>
        </is>
      </c>
      <c r="H106" s="14" t="n">
        <v>1</v>
      </c>
      <c r="I106" s="3" t="inlineStr">
        <is>
          <t>Làm quen</t>
        </is>
      </c>
      <c r="J106" s="3" t="inlineStr">
        <is>
          <t>10 - 8 = ...</t>
        </is>
      </c>
      <c r="K106" s="3" t="inlineStr"/>
      <c r="L106" s="3" t="inlineStr">
        <is>
          <t>2</t>
        </is>
      </c>
      <c r="M106" s="3" t="inlineStr">
        <is>
          <t>10 - 8 = 2.</t>
        </is>
      </c>
      <c r="N106" s="3" t="n"/>
      <c r="O106" s="14" t="n">
        <v>40</v>
      </c>
      <c r="P106" s="14">
        <f>INDEX(Khung_cap_do!$H$2:$H$6,H106)</f>
        <v/>
      </c>
      <c r="Q106" s="3" t="inlineStr">
        <is>
          <t>T1.PT.02</t>
        </is>
      </c>
      <c r="R106" s="3" t="inlineStr">
        <is>
          <t>TOAN.TINH</t>
        </is>
      </c>
    </row>
    <row r="107">
      <c r="A107" s="3" t="inlineStr">
        <is>
          <t>toan1-kntt-b13-q3</t>
        </is>
      </c>
      <c r="B107" s="3" t="inlineStr">
        <is>
          <t>Toán</t>
        </is>
      </c>
      <c r="C107" s="3" t="inlineStr">
        <is>
          <t>Kết nối tri thức</t>
        </is>
      </c>
      <c r="D107" s="3" t="inlineStr">
        <is>
          <t>Bài 13</t>
        </is>
      </c>
      <c r="E107" s="3" t="inlineStr">
        <is>
          <t>Chủ đề 3. Phép cộng, phép trừ trong phạm vi 10</t>
        </is>
      </c>
      <c r="F107" s="3" t="inlineStr">
        <is>
          <t>Bài 13. Luyện tập chung</t>
        </is>
      </c>
      <c r="G107" s="3" t="inlineStr">
        <is>
          <t>Chọn đáp án</t>
        </is>
      </c>
      <c r="H107" s="14" t="n">
        <v>2</v>
      </c>
      <c r="I107" s="3" t="inlineStr">
        <is>
          <t>Cơ bản</t>
        </is>
      </c>
      <c r="J107" s="3" t="inlineStr">
        <is>
          <t>Chọn dấu đúng: 5 + 3 ... 7</t>
        </is>
      </c>
      <c r="K107" s="3" t="inlineStr">
        <is>
          <t>A. &gt; | B. &lt; | C. =</t>
        </is>
      </c>
      <c r="L107" s="3" t="inlineStr">
        <is>
          <t>A</t>
        </is>
      </c>
      <c r="M107" s="3" t="inlineStr">
        <is>
          <t>5 + 3 = 8, mà 8 &gt; 7.</t>
        </is>
      </c>
      <c r="N107" s="3" t="n"/>
      <c r="O107" s="14" t="n">
        <v>40</v>
      </c>
      <c r="P107" s="14">
        <f>INDEX(Khung_cap_do!$H$2:$H$6,H107)</f>
        <v/>
      </c>
      <c r="Q107" s="3" t="inlineStr">
        <is>
          <t>T1.PT.06</t>
        </is>
      </c>
      <c r="R107" s="3" t="inlineStr">
        <is>
          <t>TOAN.SOSANH</t>
        </is>
      </c>
    </row>
    <row r="108">
      <c r="A108" s="3" t="inlineStr">
        <is>
          <t>toan1-kntt-b13-q4</t>
        </is>
      </c>
      <c r="B108" s="3" t="inlineStr">
        <is>
          <t>Toán</t>
        </is>
      </c>
      <c r="C108" s="3" t="inlineStr">
        <is>
          <t>Kết nối tri thức</t>
        </is>
      </c>
      <c r="D108" s="3" t="inlineStr">
        <is>
          <t>Bài 13</t>
        </is>
      </c>
      <c r="E108" s="3" t="inlineStr">
        <is>
          <t>Chủ đề 3. Phép cộng, phép trừ trong phạm vi 10</t>
        </is>
      </c>
      <c r="F108" s="3" t="inlineStr">
        <is>
          <t>Bài 13. Luyện tập chung</t>
        </is>
      </c>
      <c r="G108" s="3" t="inlineStr">
        <is>
          <t>Điền đáp án</t>
        </is>
      </c>
      <c r="H108" s="14" t="n">
        <v>3</v>
      </c>
      <c r="I108" s="3" t="inlineStr">
        <is>
          <t>Vận dụng</t>
        </is>
      </c>
      <c r="J108" s="3" t="inlineStr">
        <is>
          <t>... - 2 = 6</t>
        </is>
      </c>
      <c r="K108" s="3" t="inlineStr"/>
      <c r="L108" s="3" t="inlineStr">
        <is>
          <t>8</t>
        </is>
      </c>
      <c r="M108" s="3" t="inlineStr">
        <is>
          <t>8 - 2 = 6.</t>
        </is>
      </c>
      <c r="N108" s="3" t="inlineStr">
        <is>
          <t>Số nào bớt đi 2 thì còn 6? Ngược lại, 6 thêm 2 là 8. Vậy số cần điền là 8.</t>
        </is>
      </c>
      <c r="O108" s="14" t="n">
        <v>60</v>
      </c>
      <c r="P108" s="14">
        <f>INDEX(Khung_cap_do!$H$2:$H$6,H108)</f>
        <v/>
      </c>
      <c r="Q108" s="3" t="inlineStr">
        <is>
          <t>T1.PT.02</t>
        </is>
      </c>
      <c r="R108" s="3" t="inlineStr">
        <is>
          <t>TOAN.SOTHIEU</t>
        </is>
      </c>
    </row>
    <row r="109">
      <c r="A109" s="3" t="inlineStr">
        <is>
          <t>toan1-kntt-b13-q5</t>
        </is>
      </c>
      <c r="B109" s="3" t="inlineStr">
        <is>
          <t>Toán</t>
        </is>
      </c>
      <c r="C109" s="3" t="inlineStr">
        <is>
          <t>Kết nối tri thức</t>
        </is>
      </c>
      <c r="D109" s="3" t="inlineStr">
        <is>
          <t>Bài 13</t>
        </is>
      </c>
      <c r="E109" s="3" t="inlineStr">
        <is>
          <t>Chủ đề 3. Phép cộng, phép trừ trong phạm vi 10</t>
        </is>
      </c>
      <c r="F109" s="3" t="inlineStr">
        <is>
          <t>Bài 13. Luyện tập chung</t>
        </is>
      </c>
      <c r="G109" s="3" t="inlineStr">
        <is>
          <t>Điền đáp án</t>
        </is>
      </c>
      <c r="H109" s="14" t="n">
        <v>2</v>
      </c>
      <c r="I109" s="3" t="inlineStr">
        <is>
          <t>Cơ bản</t>
        </is>
      </c>
      <c r="J109" s="3" t="inlineStr">
        <is>
          <t>2 + 3 + 4 = ...</t>
        </is>
      </c>
      <c r="K109" s="3" t="inlineStr"/>
      <c r="L109" s="3" t="inlineStr">
        <is>
          <t>9</t>
        </is>
      </c>
      <c r="M109" s="3" t="inlineStr">
        <is>
          <t>2 + 3 = 5; 5 + 4 = 9.</t>
        </is>
      </c>
      <c r="N109" s="3" t="n"/>
      <c r="O109" s="14" t="n">
        <v>50</v>
      </c>
      <c r="P109" s="14">
        <f>INDEX(Khung_cap_do!$H$2:$H$6,H109)</f>
        <v/>
      </c>
      <c r="Q109" s="3" t="inlineStr">
        <is>
          <t>T1.PT.06</t>
        </is>
      </c>
      <c r="R109" s="3" t="inlineStr">
        <is>
          <t>TOAN.TINH</t>
        </is>
      </c>
    </row>
    <row r="110">
      <c r="A110" s="3" t="inlineStr">
        <is>
          <t>toan1-kntt-b13-q6</t>
        </is>
      </c>
      <c r="B110" s="3" t="inlineStr">
        <is>
          <t>Toán</t>
        </is>
      </c>
      <c r="C110" s="3" t="inlineStr">
        <is>
          <t>Kết nối tri thức</t>
        </is>
      </c>
      <c r="D110" s="3" t="inlineStr">
        <is>
          <t>Bài 13</t>
        </is>
      </c>
      <c r="E110" s="3" t="inlineStr">
        <is>
          <t>Chủ đề 3. Phép cộng, phép trừ trong phạm vi 10</t>
        </is>
      </c>
      <c r="F110" s="3" t="inlineStr">
        <is>
          <t>Bài 13. Luyện tập chung</t>
        </is>
      </c>
      <c r="G110" s="3" t="inlineStr">
        <is>
          <t>Điền đáp án</t>
        </is>
      </c>
      <c r="H110" s="14" t="n">
        <v>3</v>
      </c>
      <c r="I110" s="3" t="inlineStr">
        <is>
          <t>Vận dụng</t>
        </is>
      </c>
      <c r="J110" s="3" t="inlineStr">
        <is>
          <t>Lớp em có 10 quả bóng, đã cho lớp bạn mượn 3 quả. Lớp em còn lại mấy quả bóng?</t>
        </is>
      </c>
      <c r="K110" s="3" t="inlineStr"/>
      <c r="L110" s="3" t="inlineStr">
        <is>
          <t>7 / bảy</t>
        </is>
      </c>
      <c r="M110" s="3" t="inlineStr">
        <is>
          <t>10 - 3 = 7 quả bóng.</t>
        </is>
      </c>
      <c r="N110" s="3" t="inlineStr">
        <is>
          <t>Cho mượn đi là bớt đi: 10 - 3 = 7. Trả lời: Lớp em còn lại 7 quả bóng.</t>
        </is>
      </c>
      <c r="O110" s="14" t="n">
        <v>70</v>
      </c>
      <c r="P110" s="14">
        <f>INDEX(Khung_cap_do!$H$2:$H$6,H110)</f>
        <v/>
      </c>
      <c r="Q110" s="3" t="inlineStr">
        <is>
          <t>T1.PT.07</t>
        </is>
      </c>
      <c r="R110" s="3" t="inlineStr">
        <is>
          <t>TOAN.LOIVAN</t>
        </is>
      </c>
    </row>
    <row r="111">
      <c r="A111" s="3" t="inlineStr">
        <is>
          <t>toan1-kntt-b13-q7</t>
        </is>
      </c>
      <c r="B111" s="3" t="inlineStr">
        <is>
          <t>Toán</t>
        </is>
      </c>
      <c r="C111" s="3" t="inlineStr">
        <is>
          <t>Kết nối tri thức</t>
        </is>
      </c>
      <c r="D111" s="3" t="inlineStr">
        <is>
          <t>Bài 13</t>
        </is>
      </c>
      <c r="E111" s="3" t="inlineStr">
        <is>
          <t>Chủ đề 3. Phép cộng, phép trừ trong phạm vi 10</t>
        </is>
      </c>
      <c r="F111" s="3" t="inlineStr">
        <is>
          <t>Bài 13. Luyện tập chung</t>
        </is>
      </c>
      <c r="G111" s="3" t="inlineStr">
        <is>
          <t>Điền đáp án</t>
        </is>
      </c>
      <c r="H111" s="14" t="n">
        <v>3</v>
      </c>
      <c r="I111" s="3" t="inlineStr">
        <is>
          <t>Vận dụng</t>
        </is>
      </c>
      <c r="J111" s="3" t="inlineStr">
        <is>
          <t>Bình có 4 cái nhãn vở, chị cho thêm 4 cái. Bình có tất cả mấy cái nhãn vở?</t>
        </is>
      </c>
      <c r="K111" s="3" t="inlineStr"/>
      <c r="L111" s="3" t="inlineStr">
        <is>
          <t>8 / tám</t>
        </is>
      </c>
      <c r="M111" s="3" t="inlineStr">
        <is>
          <t>4 + 4 = 8 cái nhãn vở.</t>
        </is>
      </c>
      <c r="N111" s="3" t="inlineStr">
        <is>
          <t>Chị cho thêm là nhiều lên: 4 + 4 = 8. Trả lời: Bình có tất cả 8 cái nhãn vở.</t>
        </is>
      </c>
      <c r="O111" s="14" t="n">
        <v>70</v>
      </c>
      <c r="P111" s="14">
        <f>INDEX(Khung_cap_do!$H$2:$H$6,H111)</f>
        <v/>
      </c>
      <c r="Q111" s="3" t="inlineStr">
        <is>
          <t>T1.PT.07</t>
        </is>
      </c>
      <c r="R111" s="3" t="inlineStr">
        <is>
          <t>TOAN.LOIVAN</t>
        </is>
      </c>
    </row>
    <row r="112">
      <c r="A112" s="3" t="inlineStr">
        <is>
          <t>toan1-kntt-b13-q8</t>
        </is>
      </c>
      <c r="B112" s="3" t="inlineStr">
        <is>
          <t>Toán</t>
        </is>
      </c>
      <c r="C112" s="3" t="inlineStr">
        <is>
          <t>Kết nối tri thức</t>
        </is>
      </c>
      <c r="D112" s="3" t="inlineStr">
        <is>
          <t>Bài 13</t>
        </is>
      </c>
      <c r="E112" s="3" t="inlineStr">
        <is>
          <t>Chủ đề 3. Phép cộng, phép trừ trong phạm vi 10</t>
        </is>
      </c>
      <c r="F112" s="3" t="inlineStr">
        <is>
          <t>Bài 13. Luyện tập chung</t>
        </is>
      </c>
      <c r="G112" s="3" t="inlineStr">
        <is>
          <t>Ghép cặp</t>
        </is>
      </c>
      <c r="H112" s="14" t="n">
        <v>3</v>
      </c>
      <c r="I112" s="3" t="inlineStr">
        <is>
          <t>Vận dụng</t>
        </is>
      </c>
      <c r="J112" s="3" t="inlineStr">
        <is>
          <t>Ghép hai phép tính có cùng kết quả</t>
        </is>
      </c>
      <c r="K112" s="3" t="inlineStr">
        <is>
          <t>3 + 3 ↔ ? / 7 + 1 ↔ ? / 2 + 2 ↔ ?</t>
        </is>
      </c>
      <c r="L112" s="3" t="inlineStr">
        <is>
          <t>3 + 3 – 9 - 3; 7 + 1 – 10 - 2; 2 + 2 – 5 - 1</t>
        </is>
      </c>
      <c r="M112" s="3" t="inlineStr">
        <is>
          <t>3 + 3 = 6 = 9 - 3; 7 + 1 = 8 = 10 - 2; 2 + 2 = 4 = 5 - 1.</t>
        </is>
      </c>
      <c r="N112" s="3" t="inlineStr">
        <is>
          <t>Tính từng phép trước: 3 + 3 = 6, 7 + 1 = 8, 2 + 2 = 4; 9 - 3 = 6, 10 - 2 = 8, 5 - 1 = 4. Rồi ghép các phép có cùng kết quả.</t>
        </is>
      </c>
      <c r="O112" s="14" t="n">
        <v>65</v>
      </c>
      <c r="P112" s="14">
        <f>INDEX(Khung_cap_do!$H$2:$H$6,H112)</f>
        <v/>
      </c>
      <c r="Q112" s="3" t="inlineStr">
        <is>
          <t>T1.PT.02</t>
        </is>
      </c>
      <c r="R112" s="3" t="inlineStr">
        <is>
          <t>TOAN.TINH</t>
        </is>
      </c>
    </row>
    <row r="113">
      <c r="A113" s="3" t="inlineStr">
        <is>
          <t>toan1-kntt-b14-q1</t>
        </is>
      </c>
      <c r="B113" s="3" t="inlineStr">
        <is>
          <t>Toán</t>
        </is>
      </c>
      <c r="C113" s="3" t="inlineStr">
        <is>
          <t>Kết nối tri thức</t>
        </is>
      </c>
      <c r="D113" s="3" t="inlineStr">
        <is>
          <t>Bài 14</t>
        </is>
      </c>
      <c r="E113" s="3" t="inlineStr">
        <is>
          <t>Chủ đề 4. Làm quen với một số hình khối</t>
        </is>
      </c>
      <c r="F113" s="3" t="inlineStr">
        <is>
          <t>Bài 14. Khối lập phương, khối hộp chữ nhật</t>
        </is>
      </c>
      <c r="G113" s="3" t="inlineStr">
        <is>
          <t>Chọn đáp án</t>
        </is>
      </c>
      <c r="H113" s="14" t="n">
        <v>1</v>
      </c>
      <c r="I113" s="3" t="inlineStr">
        <is>
          <t>Làm quen</t>
        </is>
      </c>
      <c r="J113" s="3" t="inlineStr">
        <is>
          <t>Con xúc xắc 🎲 có dạng khối gì?</t>
        </is>
      </c>
      <c r="K113" s="3" t="inlineStr">
        <is>
          <t>A. Khối lập phương | B. Khối hộp chữ nhật</t>
        </is>
      </c>
      <c r="L113" s="3" t="inlineStr">
        <is>
          <t>A</t>
        </is>
      </c>
      <c r="M113" s="3" t="inlineStr">
        <is>
          <t>Xúc xắc có các mặt là hình vuông bằng nhau: khối lập phương.</t>
        </is>
      </c>
      <c r="N113" s="3" t="n"/>
      <c r="O113" s="14" t="n">
        <v>30</v>
      </c>
      <c r="P113" s="14">
        <f>INDEX(Khung_cap_do!$H$2:$H$6,H113)</f>
        <v/>
      </c>
      <c r="Q113" s="3" t="inlineStr">
        <is>
          <t>T1.HH.03</t>
        </is>
      </c>
      <c r="R113" s="3" t="inlineStr">
        <is>
          <t>TOAN.HINH</t>
        </is>
      </c>
    </row>
    <row r="114">
      <c r="A114" s="3" t="inlineStr">
        <is>
          <t>toan1-kntt-b14-q2</t>
        </is>
      </c>
      <c r="B114" s="3" t="inlineStr">
        <is>
          <t>Toán</t>
        </is>
      </c>
      <c r="C114" s="3" t="inlineStr">
        <is>
          <t>Kết nối tri thức</t>
        </is>
      </c>
      <c r="D114" s="3" t="inlineStr">
        <is>
          <t>Bài 14</t>
        </is>
      </c>
      <c r="E114" s="3" t="inlineStr">
        <is>
          <t>Chủ đề 4. Làm quen với một số hình khối</t>
        </is>
      </c>
      <c r="F114" s="3" t="inlineStr">
        <is>
          <t>Bài 14. Khối lập phương, khối hộp chữ nhật</t>
        </is>
      </c>
      <c r="G114" s="3" t="inlineStr">
        <is>
          <t>Chọn đáp án</t>
        </is>
      </c>
      <c r="H114" s="14" t="n">
        <v>2</v>
      </c>
      <c r="I114" s="3" t="inlineStr">
        <is>
          <t>Cơ bản</t>
        </is>
      </c>
      <c r="J114" s="3" t="inlineStr">
        <is>
          <t>Hộp sữa giấy có dạng khối gì?</t>
        </is>
      </c>
      <c r="K114" s="3" t="inlineStr">
        <is>
          <t>A. Khối lập phương | B. Khối hộp chữ nhật</t>
        </is>
      </c>
      <c r="L114" s="3" t="inlineStr">
        <is>
          <t>B</t>
        </is>
      </c>
      <c r="M114" s="3" t="inlineStr">
        <is>
          <t>Hộp sữa dài, có mặt là hình chữ nhật: khối hộp chữ nhật.</t>
        </is>
      </c>
      <c r="N114" s="3" t="n"/>
      <c r="O114" s="14" t="n">
        <v>40</v>
      </c>
      <c r="P114" s="14">
        <f>INDEX(Khung_cap_do!$H$2:$H$6,H114)</f>
        <v/>
      </c>
      <c r="Q114" s="3" t="inlineStr">
        <is>
          <t>T1.HH.03</t>
        </is>
      </c>
      <c r="R114" s="3" t="inlineStr">
        <is>
          <t>TOAN.HINH</t>
        </is>
      </c>
    </row>
    <row r="115">
      <c r="A115" s="3" t="inlineStr">
        <is>
          <t>toan1-kntt-b14-q3</t>
        </is>
      </c>
      <c r="B115" s="3" t="inlineStr">
        <is>
          <t>Toán</t>
        </is>
      </c>
      <c r="C115" s="3" t="inlineStr">
        <is>
          <t>Kết nối tri thức</t>
        </is>
      </c>
      <c r="D115" s="3" t="inlineStr">
        <is>
          <t>Bài 14</t>
        </is>
      </c>
      <c r="E115" s="3" t="inlineStr">
        <is>
          <t>Chủ đề 4. Làm quen với một số hình khối</t>
        </is>
      </c>
      <c r="F115" s="3" t="inlineStr">
        <is>
          <t>Bài 14. Khối lập phương, khối hộp chữ nhật</t>
        </is>
      </c>
      <c r="G115" s="3" t="inlineStr">
        <is>
          <t>Chọn nhiều đáp án</t>
        </is>
      </c>
      <c r="H115" s="14" t="n">
        <v>2</v>
      </c>
      <c r="I115" s="3" t="inlineStr">
        <is>
          <t>Cơ bản</t>
        </is>
      </c>
      <c r="J115" s="3" t="inlineStr">
        <is>
          <t>Chọn TẤT CẢ đồ vật có dạng khối hộp chữ nhật</t>
        </is>
      </c>
      <c r="K115" s="3" t="inlineStr">
        <is>
          <t>A. Hộp bánh quy | B. Quả bóng | C. Viên gạch | D. Quả cam</t>
        </is>
      </c>
      <c r="L115" s="3" t="inlineStr">
        <is>
          <t>A, C</t>
        </is>
      </c>
      <c r="M115" s="3" t="inlineStr">
        <is>
          <t>Hộp bánh và viên gạch là khối hộp chữ nhật; quả bóng, quả cam tròn.</t>
        </is>
      </c>
      <c r="N115" s="3" t="n"/>
      <c r="O115" s="14" t="n">
        <v>50</v>
      </c>
      <c r="P115" s="14">
        <f>INDEX(Khung_cap_do!$H$2:$H$6,H115)</f>
        <v/>
      </c>
      <c r="Q115" s="3" t="inlineStr">
        <is>
          <t>T1.HH.03</t>
        </is>
      </c>
      <c r="R115" s="3" t="inlineStr">
        <is>
          <t>TOAN.HINH</t>
        </is>
      </c>
    </row>
    <row r="116">
      <c r="A116" s="3" t="inlineStr">
        <is>
          <t>toan1-kntt-b14-q4</t>
        </is>
      </c>
      <c r="B116" s="3" t="inlineStr">
        <is>
          <t>Toán</t>
        </is>
      </c>
      <c r="C116" s="3" t="inlineStr">
        <is>
          <t>Kết nối tri thức</t>
        </is>
      </c>
      <c r="D116" s="3" t="inlineStr">
        <is>
          <t>Bài 14</t>
        </is>
      </c>
      <c r="E116" s="3" t="inlineStr">
        <is>
          <t>Chủ đề 4. Làm quen với một số hình khối</t>
        </is>
      </c>
      <c r="F116" s="3" t="inlineStr">
        <is>
          <t>Bài 14. Khối lập phương, khối hộp chữ nhật</t>
        </is>
      </c>
      <c r="G116" s="3" t="inlineStr">
        <is>
          <t>Đúng / Sai</t>
        </is>
      </c>
      <c r="H116" s="14" t="n">
        <v>2</v>
      </c>
      <c r="I116" s="3" t="inlineStr">
        <is>
          <t>Cơ bản</t>
        </is>
      </c>
      <c r="J116" s="3" t="inlineStr">
        <is>
          <t>Khối lập phương có các mặt đều là hình vuông. Đúng hay sai?</t>
        </is>
      </c>
      <c r="K116" s="3" t="inlineStr">
        <is>
          <t>A. Đúng | B. Sai</t>
        </is>
      </c>
      <c r="L116" s="3" t="inlineStr">
        <is>
          <t>A</t>
        </is>
      </c>
      <c r="M116" s="3" t="inlineStr">
        <is>
          <t>Đúng, mọi mặt của khối lập phương là hình vuông.</t>
        </is>
      </c>
      <c r="N116" s="3" t="n"/>
      <c r="O116" s="14" t="n">
        <v>40</v>
      </c>
      <c r="P116" s="14">
        <f>INDEX(Khung_cap_do!$H$2:$H$6,H116)</f>
        <v/>
      </c>
      <c r="Q116" s="3" t="inlineStr">
        <is>
          <t>T1.HH.03</t>
        </is>
      </c>
      <c r="R116" s="3" t="inlineStr">
        <is>
          <t>TOAN.DUNGSAI</t>
        </is>
      </c>
    </row>
    <row r="117">
      <c r="A117" s="3" t="inlineStr">
        <is>
          <t>toan1-kntt-b14-q5</t>
        </is>
      </c>
      <c r="B117" s="3" t="inlineStr">
        <is>
          <t>Toán</t>
        </is>
      </c>
      <c r="C117" s="3" t="inlineStr">
        <is>
          <t>Kết nối tri thức</t>
        </is>
      </c>
      <c r="D117" s="3" t="inlineStr">
        <is>
          <t>Bài 14</t>
        </is>
      </c>
      <c r="E117" s="3" t="inlineStr">
        <is>
          <t>Chủ đề 4. Làm quen với một số hình khối</t>
        </is>
      </c>
      <c r="F117" s="3" t="inlineStr">
        <is>
          <t>Bài 14. Khối lập phương, khối hộp chữ nhật</t>
        </is>
      </c>
      <c r="G117" s="3" t="inlineStr">
        <is>
          <t>Ghép cặp</t>
        </is>
      </c>
      <c r="H117" s="14" t="n">
        <v>2</v>
      </c>
      <c r="I117" s="3" t="inlineStr">
        <is>
          <t>Cơ bản</t>
        </is>
      </c>
      <c r="J117" s="3" t="inlineStr">
        <is>
          <t>Ghép đồ vật với dạng khối</t>
        </is>
      </c>
      <c r="K117" s="3" t="inlineStr">
        <is>
          <t>Con xúc xắc ↔ ? / Viên gạch ↔ ?</t>
        </is>
      </c>
      <c r="L117" s="3" t="inlineStr">
        <is>
          <t>Con xúc xắc – Khối lập phương; Viên gạch – Khối hộp chữ nhật</t>
        </is>
      </c>
      <c r="M117" s="3" t="inlineStr">
        <is>
          <t>Xúc xắc là khối lập phương, viên gạch là khối hộp chữ nhật.</t>
        </is>
      </c>
      <c r="N117" s="3" t="n"/>
      <c r="O117" s="14" t="n">
        <v>55</v>
      </c>
      <c r="P117" s="14">
        <f>INDEX(Khung_cap_do!$H$2:$H$6,H117)</f>
        <v/>
      </c>
      <c r="Q117" s="3" t="inlineStr">
        <is>
          <t>T1.HH.03</t>
        </is>
      </c>
      <c r="R117" s="3" t="inlineStr">
        <is>
          <t>TOAN.HINH</t>
        </is>
      </c>
    </row>
    <row r="118">
      <c r="A118" s="3" t="inlineStr">
        <is>
          <t>toan1-kntt-b14-q6</t>
        </is>
      </c>
      <c r="B118" s="3" t="inlineStr">
        <is>
          <t>Toán</t>
        </is>
      </c>
      <c r="C118" s="3" t="inlineStr">
        <is>
          <t>Kết nối tri thức</t>
        </is>
      </c>
      <c r="D118" s="3" t="inlineStr">
        <is>
          <t>Bài 14</t>
        </is>
      </c>
      <c r="E118" s="3" t="inlineStr">
        <is>
          <t>Chủ đề 4. Làm quen với một số hình khối</t>
        </is>
      </c>
      <c r="F118" s="3" t="inlineStr">
        <is>
          <t>Bài 14. Khối lập phương, khối hộp chữ nhật</t>
        </is>
      </c>
      <c r="G118" s="3" t="inlineStr">
        <is>
          <t>Điền đáp án</t>
        </is>
      </c>
      <c r="H118" s="14" t="n">
        <v>3</v>
      </c>
      <c r="I118" s="3" t="inlineStr">
        <is>
          <t>Vận dụng</t>
        </is>
      </c>
      <c r="J118" s="3" t="inlineStr">
        <is>
          <t>Bạn Hoa xếp 3 khối lập phương ở dưới và 2 khối ở trên. Bạn dùng tất cả mấy khối?</t>
        </is>
      </c>
      <c r="K118" s="3" t="inlineStr"/>
      <c r="L118" s="3" t="inlineStr">
        <is>
          <t>5 / năm</t>
        </is>
      </c>
      <c r="M118" s="3" t="inlineStr">
        <is>
          <t>3 + 2 = 5 khối.</t>
        </is>
      </c>
      <c r="N118" s="3" t="inlineStr">
        <is>
          <t>Đếm khối ở dưới: 3. Đếm thêm khối ở trên: 4, 5. Bạn dùng tất cả 5 khối lập phương (3 + 2 = 5).</t>
        </is>
      </c>
      <c r="O118" s="14" t="n">
        <v>70</v>
      </c>
      <c r="P118" s="14">
        <f>INDEX(Khung_cap_do!$H$2:$H$6,H118)</f>
        <v/>
      </c>
      <c r="Q118" s="3" t="inlineStr">
        <is>
          <t>T1.HH.03</t>
        </is>
      </c>
      <c r="R118" s="3" t="inlineStr">
        <is>
          <t>TOAN.LOIVAN</t>
        </is>
      </c>
    </row>
    <row r="119">
      <c r="A119" s="3" t="inlineStr">
        <is>
          <t>toan1-kntt-b15-q1</t>
        </is>
      </c>
      <c r="B119" s="3" t="inlineStr">
        <is>
          <t>Toán</t>
        </is>
      </c>
      <c r="C119" s="3" t="inlineStr">
        <is>
          <t>Kết nối tri thức</t>
        </is>
      </c>
      <c r="D119" s="3" t="inlineStr">
        <is>
          <t>Bài 15</t>
        </is>
      </c>
      <c r="E119" s="3" t="inlineStr">
        <is>
          <t>Chủ đề 4. Làm quen với một số hình khối</t>
        </is>
      </c>
      <c r="F119" s="3" t="inlineStr">
        <is>
          <t>Bài 15. Vị trí, định hướng trong không gian</t>
        </is>
      </c>
      <c r="G119" s="3" t="inlineStr">
        <is>
          <t>Chọn đáp án</t>
        </is>
      </c>
      <c r="H119" s="14" t="n">
        <v>1</v>
      </c>
      <c r="I119" s="3" t="inlineStr">
        <is>
          <t>Làm quen</t>
        </is>
      </c>
      <c r="J119" s="3" t="inlineStr">
        <is>
          <t>Quả bóng nằm dưới gầm bàn. Quả bóng ở ... cái bàn.</t>
        </is>
      </c>
      <c r="K119" s="3" t="inlineStr">
        <is>
          <t>A. trên | B. dưới | C. trước</t>
        </is>
      </c>
      <c r="L119" s="3" t="inlineStr">
        <is>
          <t>B</t>
        </is>
      </c>
      <c r="M119" s="3" t="inlineStr">
        <is>
          <t>Gầm bàn ở phía dưới mặt bàn.</t>
        </is>
      </c>
      <c r="N119" s="3" t="n"/>
      <c r="O119" s="14" t="n">
        <v>30</v>
      </c>
      <c r="P119" s="14">
        <f>INDEX(Khung_cap_do!$H$2:$H$6,H119)</f>
        <v/>
      </c>
      <c r="Q119" s="3" t="inlineStr">
        <is>
          <t>T1.HH.01</t>
        </is>
      </c>
      <c r="R119" s="3" t="inlineStr">
        <is>
          <t>TOAN.HINH</t>
        </is>
      </c>
    </row>
    <row r="120">
      <c r="A120" s="3" t="inlineStr">
        <is>
          <t>toan1-kntt-b15-q2</t>
        </is>
      </c>
      <c r="B120" s="3" t="inlineStr">
        <is>
          <t>Toán</t>
        </is>
      </c>
      <c r="C120" s="3" t="inlineStr">
        <is>
          <t>Kết nối tri thức</t>
        </is>
      </c>
      <c r="D120" s="3" t="inlineStr">
        <is>
          <t>Bài 15</t>
        </is>
      </c>
      <c r="E120" s="3" t="inlineStr">
        <is>
          <t>Chủ đề 4. Làm quen với một số hình khối</t>
        </is>
      </c>
      <c r="F120" s="3" t="inlineStr">
        <is>
          <t>Bài 15. Vị trí, định hướng trong không gian</t>
        </is>
      </c>
      <c r="G120" s="3" t="inlineStr">
        <is>
          <t>Chọn đáp án</t>
        </is>
      </c>
      <c r="H120" s="14" t="n">
        <v>1</v>
      </c>
      <c r="I120" s="3" t="inlineStr">
        <is>
          <t>Làm quen</t>
        </is>
      </c>
      <c r="J120" s="3" t="inlineStr">
        <is>
          <t>Ba bạn đứng thành hàng: Nam, Bình, An. Bạn nào đứng ở giữa?</t>
        </is>
      </c>
      <c r="K120" s="3" t="inlineStr">
        <is>
          <t>A. Nam | B. Bình | C. An</t>
        </is>
      </c>
      <c r="L120" s="3" t="inlineStr">
        <is>
          <t>B</t>
        </is>
      </c>
      <c r="M120" s="3" t="inlineStr">
        <is>
          <t>Bình đứng giữa Nam và An.</t>
        </is>
      </c>
      <c r="N120" s="3" t="n"/>
      <c r="O120" s="14" t="n">
        <v>30</v>
      </c>
      <c r="P120" s="14">
        <f>INDEX(Khung_cap_do!$H$2:$H$6,H120)</f>
        <v/>
      </c>
      <c r="Q120" s="3" t="inlineStr">
        <is>
          <t>T1.HH.01</t>
        </is>
      </c>
      <c r="R120" s="3" t="inlineStr">
        <is>
          <t>TOAN.HINH</t>
        </is>
      </c>
    </row>
    <row r="121">
      <c r="A121" s="3" t="inlineStr">
        <is>
          <t>toan1-kntt-b15-q3</t>
        </is>
      </c>
      <c r="B121" s="3" t="inlineStr">
        <is>
          <t>Toán</t>
        </is>
      </c>
      <c r="C121" s="3" t="inlineStr">
        <is>
          <t>Kết nối tri thức</t>
        </is>
      </c>
      <c r="D121" s="3" t="inlineStr">
        <is>
          <t>Bài 15</t>
        </is>
      </c>
      <c r="E121" s="3" t="inlineStr">
        <is>
          <t>Chủ đề 4. Làm quen với một số hình khối</t>
        </is>
      </c>
      <c r="F121" s="3" t="inlineStr">
        <is>
          <t>Bài 15. Vị trí, định hướng trong không gian</t>
        </is>
      </c>
      <c r="G121" s="3" t="inlineStr">
        <is>
          <t>Chọn đáp án</t>
        </is>
      </c>
      <c r="H121" s="14" t="n">
        <v>2</v>
      </c>
      <c r="I121" s="3" t="inlineStr">
        <is>
          <t>Cơ bản</t>
        </is>
      </c>
      <c r="J121" s="3" t="inlineStr">
        <is>
          <t>🍎🍌🍇
Quả nào ở bên phải quả chuối?</t>
        </is>
      </c>
      <c r="K121" s="3" t="inlineStr">
        <is>
          <t>A. Quả táo | B. Quả nho</t>
        </is>
      </c>
      <c r="L121" s="3" t="inlineStr">
        <is>
          <t>B</t>
        </is>
      </c>
      <c r="M121" s="3" t="inlineStr">
        <is>
          <t>Nhìn từ trái sang phải: táo, chuối, nho. Bên phải chuối là nho.</t>
        </is>
      </c>
      <c r="N121" s="3" t="n"/>
      <c r="O121" s="14" t="n">
        <v>40</v>
      </c>
      <c r="P121" s="14">
        <f>INDEX(Khung_cap_do!$H$2:$H$6,H121)</f>
        <v/>
      </c>
      <c r="Q121" s="3" t="inlineStr">
        <is>
          <t>T1.HH.01</t>
        </is>
      </c>
      <c r="R121" s="3" t="inlineStr">
        <is>
          <t>TOAN.HINH</t>
        </is>
      </c>
    </row>
    <row r="122">
      <c r="A122" s="3" t="inlineStr">
        <is>
          <t>toan1-kntt-b15-q4</t>
        </is>
      </c>
      <c r="B122" s="3" t="inlineStr">
        <is>
          <t>Toán</t>
        </is>
      </c>
      <c r="C122" s="3" t="inlineStr">
        <is>
          <t>Kết nối tri thức</t>
        </is>
      </c>
      <c r="D122" s="3" t="inlineStr">
        <is>
          <t>Bài 15</t>
        </is>
      </c>
      <c r="E122" s="3" t="inlineStr">
        <is>
          <t>Chủ đề 4. Làm quen với một số hình khối</t>
        </is>
      </c>
      <c r="F122" s="3" t="inlineStr">
        <is>
          <t>Bài 15. Vị trí, định hướng trong không gian</t>
        </is>
      </c>
      <c r="G122" s="3" t="inlineStr">
        <is>
          <t>Đúng / Sai</t>
        </is>
      </c>
      <c r="H122" s="14" t="n">
        <v>2</v>
      </c>
      <c r="I122" s="3" t="inlineStr">
        <is>
          <t>Cơ bản</t>
        </is>
      </c>
      <c r="J122" s="3" t="inlineStr">
        <is>
          <t>🐱🐶
Con mèo ở bên trái con chó. Đúng hay sai?</t>
        </is>
      </c>
      <c r="K122" s="3" t="inlineStr">
        <is>
          <t>A. Đúng | B. Sai</t>
        </is>
      </c>
      <c r="L122" s="3" t="inlineStr">
        <is>
          <t>A</t>
        </is>
      </c>
      <c r="M122" s="3" t="inlineStr">
        <is>
          <t>Mèo đứng trước, ở phía trái của chó.</t>
        </is>
      </c>
      <c r="N122" s="3" t="n"/>
      <c r="O122" s="14" t="n">
        <v>40</v>
      </c>
      <c r="P122" s="14">
        <f>INDEX(Khung_cap_do!$H$2:$H$6,H122)</f>
        <v/>
      </c>
      <c r="Q122" s="3" t="inlineStr">
        <is>
          <t>T1.HH.01</t>
        </is>
      </c>
      <c r="R122" s="3" t="inlineStr">
        <is>
          <t>TOAN.DUNGSAI</t>
        </is>
      </c>
    </row>
    <row r="123">
      <c r="A123" s="3" t="inlineStr">
        <is>
          <t>toan1-kntt-b15-q5</t>
        </is>
      </c>
      <c r="B123" s="3" t="inlineStr">
        <is>
          <t>Toán</t>
        </is>
      </c>
      <c r="C123" s="3" t="inlineStr">
        <is>
          <t>Kết nối tri thức</t>
        </is>
      </c>
      <c r="D123" s="3" t="inlineStr">
        <is>
          <t>Bài 15</t>
        </is>
      </c>
      <c r="E123" s="3" t="inlineStr">
        <is>
          <t>Chủ đề 4. Làm quen với một số hình khối</t>
        </is>
      </c>
      <c r="F123" s="3" t="inlineStr">
        <is>
          <t>Bài 15. Vị trí, định hướng trong không gian</t>
        </is>
      </c>
      <c r="G123" s="3" t="inlineStr">
        <is>
          <t>Chọn đáp án</t>
        </is>
      </c>
      <c r="H123" s="14" t="n">
        <v>3</v>
      </c>
      <c r="I123" s="3" t="inlineStr">
        <is>
          <t>Vận dụng</t>
        </is>
      </c>
      <c r="J123" s="3" t="inlineStr">
        <is>
          <t>Trong lớp, bảng ở phía trước. Em ngồi bàn đầu, bạn Hà ngồi bàn thứ hai ngay sau em. Bạn Hà ở phía nào của em?</t>
        </is>
      </c>
      <c r="K123" s="3" t="inlineStr">
        <is>
          <t>A. phía trước | B. phía sau</t>
        </is>
      </c>
      <c r="L123" s="3" t="inlineStr">
        <is>
          <t>B</t>
        </is>
      </c>
      <c r="M123" s="3" t="inlineStr">
        <is>
          <t>Bàn thứ hai ở sau bàn đầu, nên Hà ở phía sau em.</t>
        </is>
      </c>
      <c r="N123" s="3" t="inlineStr">
        <is>
          <t>Bảng ở phía trước. Em ngồi bàn đầu, gần bảng. Hà ngồi bàn thứ hai, ngay sau lưng em. Vậy Hà ở phía sau em.</t>
        </is>
      </c>
      <c r="O123" s="14" t="n">
        <v>60</v>
      </c>
      <c r="P123" s="14">
        <f>INDEX(Khung_cap_do!$H$2:$H$6,H123)</f>
        <v/>
      </c>
      <c r="Q123" s="3" t="inlineStr">
        <is>
          <t>T1.HH.01</t>
        </is>
      </c>
      <c r="R123" s="3" t="inlineStr">
        <is>
          <t>TOAN.HINH</t>
        </is>
      </c>
    </row>
    <row r="124">
      <c r="A124" s="3" t="inlineStr">
        <is>
          <t>toan1-kntt-b15-q6</t>
        </is>
      </c>
      <c r="B124" s="3" t="inlineStr">
        <is>
          <t>Toán</t>
        </is>
      </c>
      <c r="C124" s="3" t="inlineStr">
        <is>
          <t>Kết nối tri thức</t>
        </is>
      </c>
      <c r="D124" s="3" t="inlineStr">
        <is>
          <t>Bài 15</t>
        </is>
      </c>
      <c r="E124" s="3" t="inlineStr">
        <is>
          <t>Chủ đề 4. Làm quen với một số hình khối</t>
        </is>
      </c>
      <c r="F124" s="3" t="inlineStr">
        <is>
          <t>Bài 15. Vị trí, định hướng trong không gian</t>
        </is>
      </c>
      <c r="G124" s="3" t="inlineStr">
        <is>
          <t>Sắp xếp</t>
        </is>
      </c>
      <c r="H124" s="14" t="n">
        <v>2</v>
      </c>
      <c r="I124" s="3" t="inlineStr">
        <is>
          <t>Cơ bản</t>
        </is>
      </c>
      <c r="J124" s="3" t="inlineStr">
        <is>
          <t>Nhà có 3 tầng. Xếp từ tầng cao nhất xuống tầng thấp nhất</t>
        </is>
      </c>
      <c r="K124" s="3" t="inlineStr">
        <is>
          <t>Tầng 1 / Tầng 2 / Tầng 3</t>
        </is>
      </c>
      <c r="L124" s="3" t="inlineStr">
        <is>
          <t>Tầng 3 → Tầng 2 → Tầng 1</t>
        </is>
      </c>
      <c r="M124" s="3" t="inlineStr">
        <is>
          <t>Từ trên xuống: tầng 3, tầng 2, tầng 1.</t>
        </is>
      </c>
      <c r="N124" s="3" t="n"/>
      <c r="O124" s="14" t="n">
        <v>55</v>
      </c>
      <c r="P124" s="14">
        <f>INDEX(Khung_cap_do!$H$2:$H$6,H124)</f>
        <v/>
      </c>
      <c r="Q124" s="3" t="inlineStr">
        <is>
          <t>T1.HH.01</t>
        </is>
      </c>
      <c r="R124" s="3" t="inlineStr">
        <is>
          <t>TOAN.SAPXEP</t>
        </is>
      </c>
    </row>
    <row r="125">
      <c r="A125" s="3" t="inlineStr">
        <is>
          <t>toan1-kntt-b16-q1</t>
        </is>
      </c>
      <c r="B125" s="3" t="inlineStr">
        <is>
          <t>Toán</t>
        </is>
      </c>
      <c r="C125" s="3" t="inlineStr">
        <is>
          <t>Kết nối tri thức</t>
        </is>
      </c>
      <c r="D125" s="3" t="inlineStr">
        <is>
          <t>Bài 16</t>
        </is>
      </c>
      <c r="E125" s="3" t="inlineStr">
        <is>
          <t>Chủ đề 4. Làm quen với một số hình khối</t>
        </is>
      </c>
      <c r="F125" s="3" t="inlineStr">
        <is>
          <t>Bài 16. Luyện tập chung</t>
        </is>
      </c>
      <c r="G125" s="3" t="inlineStr">
        <is>
          <t>Chọn đáp án</t>
        </is>
      </c>
      <c r="H125" s="14" t="n">
        <v>2</v>
      </c>
      <c r="I125" s="3" t="inlineStr">
        <is>
          <t>Cơ bản</t>
        </is>
      </c>
      <c r="J125" s="3" t="inlineStr">
        <is>
          <t>Quyển từ điển dày có dạng khối gì?</t>
        </is>
      </c>
      <c r="K125" s="3" t="inlineStr">
        <is>
          <t>A. Khối lập phương | B. Khối hộp chữ nhật</t>
        </is>
      </c>
      <c r="L125" s="3" t="inlineStr">
        <is>
          <t>B</t>
        </is>
      </c>
      <c r="M125" s="3" t="inlineStr">
        <is>
          <t>Quyển sách dày có dạng khối hộp chữ nhật.</t>
        </is>
      </c>
      <c r="N125" s="3" t="n"/>
      <c r="O125" s="14" t="n">
        <v>40</v>
      </c>
      <c r="P125" s="14">
        <f>INDEX(Khung_cap_do!$H$2:$H$6,H125)</f>
        <v/>
      </c>
      <c r="Q125" s="3" t="inlineStr">
        <is>
          <t>T1.HH.03</t>
        </is>
      </c>
      <c r="R125" s="3" t="inlineStr">
        <is>
          <t>TOAN.HINH</t>
        </is>
      </c>
    </row>
    <row r="126">
      <c r="A126" s="3" t="inlineStr">
        <is>
          <t>toan1-kntt-b16-q2</t>
        </is>
      </c>
      <c r="B126" s="3" t="inlineStr">
        <is>
          <t>Toán</t>
        </is>
      </c>
      <c r="C126" s="3" t="inlineStr">
        <is>
          <t>Kết nối tri thức</t>
        </is>
      </c>
      <c r="D126" s="3" t="inlineStr">
        <is>
          <t>Bài 16</t>
        </is>
      </c>
      <c r="E126" s="3" t="inlineStr">
        <is>
          <t>Chủ đề 4. Làm quen với một số hình khối</t>
        </is>
      </c>
      <c r="F126" s="3" t="inlineStr">
        <is>
          <t>Bài 16. Luyện tập chung</t>
        </is>
      </c>
      <c r="G126" s="3" t="inlineStr">
        <is>
          <t>Chọn đáp án</t>
        </is>
      </c>
      <c r="H126" s="14" t="n">
        <v>2</v>
      </c>
      <c r="I126" s="3" t="inlineStr">
        <is>
          <t>Cơ bản</t>
        </is>
      </c>
      <c r="J126" s="3" t="inlineStr">
        <is>
          <t>Con mèo nằm trên mái nhà. Mái nhà ở ... con mèo.</t>
        </is>
      </c>
      <c r="K126" s="3" t="inlineStr">
        <is>
          <t>A. trên | B. dưới</t>
        </is>
      </c>
      <c r="L126" s="3" t="inlineStr">
        <is>
          <t>B</t>
        </is>
      </c>
      <c r="M126" s="3" t="inlineStr">
        <is>
          <t>Mèo ở trên mái nhà, nên mái nhà ở dưới con mèo.</t>
        </is>
      </c>
      <c r="N126" s="3" t="n"/>
      <c r="O126" s="14" t="n">
        <v>40</v>
      </c>
      <c r="P126" s="14">
        <f>INDEX(Khung_cap_do!$H$2:$H$6,H126)</f>
        <v/>
      </c>
      <c r="Q126" s="3" t="inlineStr">
        <is>
          <t>T1.HH.01</t>
        </is>
      </c>
      <c r="R126" s="3" t="inlineStr">
        <is>
          <t>TOAN.HINH</t>
        </is>
      </c>
    </row>
    <row r="127">
      <c r="A127" s="3" t="inlineStr">
        <is>
          <t>toan1-kntt-b16-q3</t>
        </is>
      </c>
      <c r="B127" s="3" t="inlineStr">
        <is>
          <t>Toán</t>
        </is>
      </c>
      <c r="C127" s="3" t="inlineStr">
        <is>
          <t>Kết nối tri thức</t>
        </is>
      </c>
      <c r="D127" s="3" t="inlineStr">
        <is>
          <t>Bài 16</t>
        </is>
      </c>
      <c r="E127" s="3" t="inlineStr">
        <is>
          <t>Chủ đề 4. Làm quen với một số hình khối</t>
        </is>
      </c>
      <c r="F127" s="3" t="inlineStr">
        <is>
          <t>Bài 16. Luyện tập chung</t>
        </is>
      </c>
      <c r="G127" s="3" t="inlineStr">
        <is>
          <t>Điền đáp án</t>
        </is>
      </c>
      <c r="H127" s="14" t="n">
        <v>1</v>
      </c>
      <c r="I127" s="3" t="inlineStr">
        <is>
          <t>Làm quen</t>
        </is>
      </c>
      <c r="J127" s="3" t="inlineStr">
        <is>
          <t>🎲🎲🎲🎲
Có mấy khối lập phương?</t>
        </is>
      </c>
      <c r="K127" s="3" t="inlineStr"/>
      <c r="L127" s="3" t="inlineStr">
        <is>
          <t>4 / bốn</t>
        </is>
      </c>
      <c r="M127" s="3" t="inlineStr">
        <is>
          <t>Có 4 con xúc xắc, mỗi con là một khối lập phương.</t>
        </is>
      </c>
      <c r="N127" s="3" t="n"/>
      <c r="O127" s="14" t="n">
        <v>40</v>
      </c>
      <c r="P127" s="14">
        <f>INDEX(Khung_cap_do!$H$2:$H$6,H127)</f>
        <v/>
      </c>
      <c r="Q127" s="3" t="inlineStr">
        <is>
          <t>T1.HH.03</t>
        </is>
      </c>
      <c r="R127" s="3" t="inlineStr">
        <is>
          <t>TOAN.DEM</t>
        </is>
      </c>
    </row>
    <row r="128">
      <c r="A128" s="3" t="inlineStr">
        <is>
          <t>toan1-kntt-b16-q4</t>
        </is>
      </c>
      <c r="B128" s="3" t="inlineStr">
        <is>
          <t>Toán</t>
        </is>
      </c>
      <c r="C128" s="3" t="inlineStr">
        <is>
          <t>Kết nối tri thức</t>
        </is>
      </c>
      <c r="D128" s="3" t="inlineStr">
        <is>
          <t>Bài 16</t>
        </is>
      </c>
      <c r="E128" s="3" t="inlineStr">
        <is>
          <t>Chủ đề 4. Làm quen với một số hình khối</t>
        </is>
      </c>
      <c r="F128" s="3" t="inlineStr">
        <is>
          <t>Bài 16. Luyện tập chung</t>
        </is>
      </c>
      <c r="G128" s="3" t="inlineStr">
        <is>
          <t>Đúng / Sai</t>
        </is>
      </c>
      <c r="H128" s="14" t="n">
        <v>2</v>
      </c>
      <c r="I128" s="3" t="inlineStr">
        <is>
          <t>Cơ bản</t>
        </is>
      </c>
      <c r="J128" s="3" t="inlineStr">
        <is>
          <t>🚗🚲🚌
Xe đạp ở giữa ô tô và xe buýt. Đúng hay sai?</t>
        </is>
      </c>
      <c r="K128" s="3" t="inlineStr">
        <is>
          <t>A. Đúng | B. Sai</t>
        </is>
      </c>
      <c r="L128" s="3" t="inlineStr">
        <is>
          <t>A</t>
        </is>
      </c>
      <c r="M128" s="3" t="inlineStr">
        <is>
          <t>Xe đạp đứng giữa hai xe.</t>
        </is>
      </c>
      <c r="N128" s="3" t="n"/>
      <c r="O128" s="14" t="n">
        <v>40</v>
      </c>
      <c r="P128" s="14">
        <f>INDEX(Khung_cap_do!$H$2:$H$6,H128)</f>
        <v/>
      </c>
      <c r="Q128" s="3" t="inlineStr">
        <is>
          <t>T1.HH.01</t>
        </is>
      </c>
      <c r="R128" s="3" t="inlineStr">
        <is>
          <t>TOAN.DUNGSAI</t>
        </is>
      </c>
    </row>
    <row r="129">
      <c r="A129" s="3" t="inlineStr">
        <is>
          <t>toan1-kntt-b16-q5</t>
        </is>
      </c>
      <c r="B129" s="3" t="inlineStr">
        <is>
          <t>Toán</t>
        </is>
      </c>
      <c r="C129" s="3" t="inlineStr">
        <is>
          <t>Kết nối tri thức</t>
        </is>
      </c>
      <c r="D129" s="3" t="inlineStr">
        <is>
          <t>Bài 16</t>
        </is>
      </c>
      <c r="E129" s="3" t="inlineStr">
        <is>
          <t>Chủ đề 4. Làm quen với một số hình khối</t>
        </is>
      </c>
      <c r="F129" s="3" t="inlineStr">
        <is>
          <t>Bài 16. Luyện tập chung</t>
        </is>
      </c>
      <c r="G129" s="3" t="inlineStr">
        <is>
          <t>Chọn đáp án</t>
        </is>
      </c>
      <c r="H129" s="14" t="n">
        <v>3</v>
      </c>
      <c r="I129" s="3" t="inlineStr">
        <is>
          <t>Vận dụng</t>
        </is>
      </c>
      <c r="J129" s="3" t="inlineStr">
        <is>
          <t>Trong hàng có 5 bạn. Lan đứng đầu hàng. Có mấy bạn đứng sau Lan?</t>
        </is>
      </c>
      <c r="K129" s="3" t="inlineStr">
        <is>
          <t>A. 3 | B. 4 | C. 5</t>
        </is>
      </c>
      <c r="L129" s="3" t="inlineStr">
        <is>
          <t>B</t>
        </is>
      </c>
      <c r="M129" s="3" t="inlineStr">
        <is>
          <t>5 bạn trừ Lan còn 4 bạn đứng sau: 5 - 1 = 4.</t>
        </is>
      </c>
      <c r="N129" s="3" t="inlineStr">
        <is>
          <t>Hàng có 5 bạn, Lan đứng đầu nên mọi bạn khác đều ở sau Lan. Bớt Lan ra: 5 - 1 = 4. Có 4 bạn đứng sau Lan.</t>
        </is>
      </c>
      <c r="O129" s="14" t="n">
        <v>60</v>
      </c>
      <c r="P129" s="14">
        <f>INDEX(Khung_cap_do!$H$2:$H$6,H129)</f>
        <v/>
      </c>
      <c r="Q129" s="3" t="inlineStr">
        <is>
          <t>T1.HH.01</t>
        </is>
      </c>
      <c r="R129" s="3" t="inlineStr">
        <is>
          <t>TOAN.LOIVAN</t>
        </is>
      </c>
    </row>
    <row r="130">
      <c r="A130" s="3" t="inlineStr">
        <is>
          <t>toan1-kntt-b17-q1</t>
        </is>
      </c>
      <c r="B130" s="3" t="inlineStr">
        <is>
          <t>Toán</t>
        </is>
      </c>
      <c r="C130" s="3" t="inlineStr">
        <is>
          <t>Kết nối tri thức</t>
        </is>
      </c>
      <c r="D130" s="3" t="inlineStr">
        <is>
          <t>Bài 17</t>
        </is>
      </c>
      <c r="E130" s="3" t="inlineStr">
        <is>
          <t>Chủ đề 5. Ôn tập học kì 1</t>
        </is>
      </c>
      <c r="F130" s="3" t="inlineStr">
        <is>
          <t>Bài 17. Ôn tập các số trong phạm vi 10</t>
        </is>
      </c>
      <c r="G130" s="3" t="inlineStr">
        <is>
          <t>Chọn đáp án</t>
        </is>
      </c>
      <c r="H130" s="14" t="n">
        <v>1</v>
      </c>
      <c r="I130" s="3" t="inlineStr">
        <is>
          <t>Làm quen</t>
        </is>
      </c>
      <c r="J130" s="3" t="inlineStr">
        <is>
          <t>🐝🐝🐝🐝🐝🐝🐝🐝
Có mấy con ong?</t>
        </is>
      </c>
      <c r="K130" s="3" t="inlineStr">
        <is>
          <t>A. 7 | B. 8 | C. 9</t>
        </is>
      </c>
      <c r="L130" s="3" t="inlineStr">
        <is>
          <t>B</t>
        </is>
      </c>
      <c r="M130" s="3" t="inlineStr">
        <is>
          <t>Có 8 con ong.</t>
        </is>
      </c>
      <c r="N130" s="3" t="n"/>
      <c r="O130" s="14" t="n">
        <v>30</v>
      </c>
      <c r="P130" s="14">
        <f>INDEX(Khung_cap_do!$H$2:$H$6,H130)</f>
        <v/>
      </c>
      <c r="Q130" s="3" t="inlineStr">
        <is>
          <t>T1.SO.01</t>
        </is>
      </c>
      <c r="R130" s="3" t="inlineStr">
        <is>
          <t>TOAN.DEM</t>
        </is>
      </c>
    </row>
    <row r="131">
      <c r="A131" s="3" t="inlineStr">
        <is>
          <t>toan1-kntt-b17-q2</t>
        </is>
      </c>
      <c r="B131" s="3" t="inlineStr">
        <is>
          <t>Toán</t>
        </is>
      </c>
      <c r="C131" s="3" t="inlineStr">
        <is>
          <t>Kết nối tri thức</t>
        </is>
      </c>
      <c r="D131" s="3" t="inlineStr">
        <is>
          <t>Bài 17</t>
        </is>
      </c>
      <c r="E131" s="3" t="inlineStr">
        <is>
          <t>Chủ đề 5. Ôn tập học kì 1</t>
        </is>
      </c>
      <c r="F131" s="3" t="inlineStr">
        <is>
          <t>Bài 17. Ôn tập các số trong phạm vi 10</t>
        </is>
      </c>
      <c r="G131" s="3" t="inlineStr">
        <is>
          <t>Ghép cặp</t>
        </is>
      </c>
      <c r="H131" s="14" t="n">
        <v>1</v>
      </c>
      <c r="I131" s="3" t="inlineStr">
        <is>
          <t>Làm quen</t>
        </is>
      </c>
      <c r="J131" s="3" t="inlineStr">
        <is>
          <t>Ghép cách đọc với số</t>
        </is>
      </c>
      <c r="K131" s="3" t="inlineStr">
        <is>
          <t>năm ↔ ? / chín ↔ ? / không ↔ ?</t>
        </is>
      </c>
      <c r="L131" s="3" t="inlineStr">
        <is>
          <t>năm – 5; chín – 9; không – 0</t>
        </is>
      </c>
      <c r="M131" s="3" t="inlineStr">
        <is>
          <t>năm – 5, chín – 9, không – 0.</t>
        </is>
      </c>
      <c r="N131" s="3" t="n"/>
      <c r="O131" s="14" t="n">
        <v>45</v>
      </c>
      <c r="P131" s="14">
        <f>INDEX(Khung_cap_do!$H$2:$H$6,H131)</f>
        <v/>
      </c>
      <c r="Q131" s="3" t="inlineStr">
        <is>
          <t>T1.SO.01</t>
        </is>
      </c>
      <c r="R131" s="3" t="inlineStr">
        <is>
          <t>TOAN.DOCVIET</t>
        </is>
      </c>
    </row>
    <row r="132">
      <c r="A132" s="3" t="inlineStr">
        <is>
          <t>toan1-kntt-b17-q3</t>
        </is>
      </c>
      <c r="B132" s="3" t="inlineStr">
        <is>
          <t>Toán</t>
        </is>
      </c>
      <c r="C132" s="3" t="inlineStr">
        <is>
          <t>Kết nối tri thức</t>
        </is>
      </c>
      <c r="D132" s="3" t="inlineStr">
        <is>
          <t>Bài 17</t>
        </is>
      </c>
      <c r="E132" s="3" t="inlineStr">
        <is>
          <t>Chủ đề 5. Ôn tập học kì 1</t>
        </is>
      </c>
      <c r="F132" s="3" t="inlineStr">
        <is>
          <t>Bài 17. Ôn tập các số trong phạm vi 10</t>
        </is>
      </c>
      <c r="G132" s="3" t="inlineStr">
        <is>
          <t>Chọn đáp án</t>
        </is>
      </c>
      <c r="H132" s="14" t="n">
        <v>1</v>
      </c>
      <c r="I132" s="3" t="inlineStr">
        <is>
          <t>Làm quen</t>
        </is>
      </c>
      <c r="J132" s="3" t="inlineStr">
        <is>
          <t>Chọn dấu đúng: 6 ... 9</t>
        </is>
      </c>
      <c r="K132" s="3" t="inlineStr">
        <is>
          <t>A. &gt; | B. &lt; | C. =</t>
        </is>
      </c>
      <c r="L132" s="3" t="inlineStr">
        <is>
          <t>B</t>
        </is>
      </c>
      <c r="M132" s="3" t="inlineStr">
        <is>
          <t>6 &lt; 9.</t>
        </is>
      </c>
      <c r="N132" s="3" t="n"/>
      <c r="O132" s="14" t="n">
        <v>30</v>
      </c>
      <c r="P132" s="14">
        <f>INDEX(Khung_cap_do!$H$2:$H$6,H132)</f>
        <v/>
      </c>
      <c r="Q132" s="3" t="inlineStr">
        <is>
          <t>T1.SO.02</t>
        </is>
      </c>
      <c r="R132" s="3" t="inlineStr">
        <is>
          <t>TOAN.SOSANH</t>
        </is>
      </c>
    </row>
    <row r="133">
      <c r="A133" s="3" t="inlineStr">
        <is>
          <t>toan1-kntt-b17-q4</t>
        </is>
      </c>
      <c r="B133" s="3" t="inlineStr">
        <is>
          <t>Toán</t>
        </is>
      </c>
      <c r="C133" s="3" t="inlineStr">
        <is>
          <t>Kết nối tri thức</t>
        </is>
      </c>
      <c r="D133" s="3" t="inlineStr">
        <is>
          <t>Bài 17</t>
        </is>
      </c>
      <c r="E133" s="3" t="inlineStr">
        <is>
          <t>Chủ đề 5. Ôn tập học kì 1</t>
        </is>
      </c>
      <c r="F133" s="3" t="inlineStr">
        <is>
          <t>Bài 17. Ôn tập các số trong phạm vi 10</t>
        </is>
      </c>
      <c r="G133" s="3" t="inlineStr">
        <is>
          <t>Sắp xếp</t>
        </is>
      </c>
      <c r="H133" s="14" t="n">
        <v>2</v>
      </c>
      <c r="I133" s="3" t="inlineStr">
        <is>
          <t>Cơ bản</t>
        </is>
      </c>
      <c r="J133" s="3" t="inlineStr">
        <is>
          <t>Xếp từ bé đến lớn</t>
        </is>
      </c>
      <c r="K133" s="3" t="inlineStr">
        <is>
          <t>1 / 4 / 5 / 8</t>
        </is>
      </c>
      <c r="L133" s="3" t="inlineStr">
        <is>
          <t>1 → 4 → 5 → 8</t>
        </is>
      </c>
      <c r="M133" s="3" t="inlineStr">
        <is>
          <t>1, 4, 5, 8.</t>
        </is>
      </c>
      <c r="N133" s="3" t="n"/>
      <c r="O133" s="14" t="n">
        <v>55</v>
      </c>
      <c r="P133" s="14">
        <f>INDEX(Khung_cap_do!$H$2:$H$6,H133)</f>
        <v/>
      </c>
      <c r="Q133" s="3" t="inlineStr">
        <is>
          <t>T1.SO.02</t>
        </is>
      </c>
      <c r="R133" s="3" t="inlineStr">
        <is>
          <t>TOAN.SAPXEP</t>
        </is>
      </c>
    </row>
    <row r="134">
      <c r="A134" s="3" t="inlineStr">
        <is>
          <t>toan1-kntt-b17-q5</t>
        </is>
      </c>
      <c r="B134" s="3" t="inlineStr">
        <is>
          <t>Toán</t>
        </is>
      </c>
      <c r="C134" s="3" t="inlineStr">
        <is>
          <t>Kết nối tri thức</t>
        </is>
      </c>
      <c r="D134" s="3" t="inlineStr">
        <is>
          <t>Bài 17</t>
        </is>
      </c>
      <c r="E134" s="3" t="inlineStr">
        <is>
          <t>Chủ đề 5. Ôn tập học kì 1</t>
        </is>
      </c>
      <c r="F134" s="3" t="inlineStr">
        <is>
          <t>Bài 17. Ôn tập các số trong phạm vi 10</t>
        </is>
      </c>
      <c r="G134" s="3" t="inlineStr">
        <is>
          <t>Điền đáp án</t>
        </is>
      </c>
      <c r="H134" s="14" t="n">
        <v>3</v>
      </c>
      <c r="I134" s="3" t="inlineStr">
        <is>
          <t>Vận dụng</t>
        </is>
      </c>
      <c r="J134" s="3" t="inlineStr">
        <is>
          <t>Số lớn nhất có một chữ số là số mấy?</t>
        </is>
      </c>
      <c r="K134" s="3" t="inlineStr"/>
      <c r="L134" s="3" t="inlineStr">
        <is>
          <t>9 / chín</t>
        </is>
      </c>
      <c r="M134" s="3" t="inlineStr">
        <is>
          <t>Các số có một chữ số là 0 đến 9, lớn nhất là 9.</t>
        </is>
      </c>
      <c r="N134" s="3" t="inlineStr">
        <is>
          <t>Số có một chữ số là các số 0, 1, 2, ..., 9. Số 10 đã có hai chữ số. Vậy số lớn nhất có một chữ số là 9.</t>
        </is>
      </c>
      <c r="O134" s="14" t="n">
        <v>60</v>
      </c>
      <c r="P134" s="14">
        <f>INDEX(Khung_cap_do!$H$2:$H$6,H134)</f>
        <v/>
      </c>
      <c r="Q134" s="3" t="inlineStr">
        <is>
          <t>T1.SO.01</t>
        </is>
      </c>
      <c r="R134" s="3" t="inlineStr">
        <is>
          <t>TOAN.DOCVIET</t>
        </is>
      </c>
    </row>
    <row r="135">
      <c r="A135" s="3" t="inlineStr">
        <is>
          <t>toan1-kntt-b17-q6</t>
        </is>
      </c>
      <c r="B135" s="3" t="inlineStr">
        <is>
          <t>Toán</t>
        </is>
      </c>
      <c r="C135" s="3" t="inlineStr">
        <is>
          <t>Kết nối tri thức</t>
        </is>
      </c>
      <c r="D135" s="3" t="inlineStr">
        <is>
          <t>Bài 17</t>
        </is>
      </c>
      <c r="E135" s="3" t="inlineStr">
        <is>
          <t>Chủ đề 5. Ôn tập học kì 1</t>
        </is>
      </c>
      <c r="F135" s="3" t="inlineStr">
        <is>
          <t>Bài 17. Ôn tập các số trong phạm vi 10</t>
        </is>
      </c>
      <c r="G135" s="3" t="inlineStr">
        <is>
          <t>Chọn nhiều đáp án</t>
        </is>
      </c>
      <c r="H135" s="14" t="n">
        <v>2</v>
      </c>
      <c r="I135" s="3" t="inlineStr">
        <is>
          <t>Cơ bản</t>
        </is>
      </c>
      <c r="J135" s="3" t="inlineStr">
        <is>
          <t>Chọn TẤT CẢ các số bé hơn 4</t>
        </is>
      </c>
      <c r="K135" s="3" t="inlineStr">
        <is>
          <t>A. 2 | B. 5 | C. 0 | D. 4 | E. 3</t>
        </is>
      </c>
      <c r="L135" s="3" t="inlineStr">
        <is>
          <t>A, C, E</t>
        </is>
      </c>
      <c r="M135" s="3" t="inlineStr">
        <is>
          <t>0, 2, 3 bé hơn 4.</t>
        </is>
      </c>
      <c r="N135" s="3" t="n"/>
      <c r="O135" s="14" t="n">
        <v>50</v>
      </c>
      <c r="P135" s="14">
        <f>INDEX(Khung_cap_do!$H$2:$H$6,H135)</f>
        <v/>
      </c>
      <c r="Q135" s="3" t="inlineStr">
        <is>
          <t>T1.SO.02</t>
        </is>
      </c>
      <c r="R135" s="3" t="inlineStr">
        <is>
          <t>TOAN.SOSANH</t>
        </is>
      </c>
    </row>
    <row r="136">
      <c r="A136" s="3" t="inlineStr">
        <is>
          <t>toan1-kntt-b18-q1</t>
        </is>
      </c>
      <c r="B136" s="3" t="inlineStr">
        <is>
          <t>Toán</t>
        </is>
      </c>
      <c r="C136" s="3" t="inlineStr">
        <is>
          <t>Kết nối tri thức</t>
        </is>
      </c>
      <c r="D136" s="3" t="inlineStr">
        <is>
          <t>Bài 18</t>
        </is>
      </c>
      <c r="E136" s="3" t="inlineStr">
        <is>
          <t>Chủ đề 5. Ôn tập học kì 1</t>
        </is>
      </c>
      <c r="F136" s="3" t="inlineStr">
        <is>
          <t>Bài 18. Ôn tập phép cộng, phép trừ trong phạm vi 10</t>
        </is>
      </c>
      <c r="G136" s="3" t="inlineStr">
        <is>
          <t>Điền đáp án</t>
        </is>
      </c>
      <c r="H136" s="14" t="n">
        <v>1</v>
      </c>
      <c r="I136" s="3" t="inlineStr">
        <is>
          <t>Làm quen</t>
        </is>
      </c>
      <c r="J136" s="3" t="inlineStr">
        <is>
          <t>5 + 5 = ...</t>
        </is>
      </c>
      <c r="K136" s="3" t="inlineStr"/>
      <c r="L136" s="3" t="inlineStr">
        <is>
          <t>10</t>
        </is>
      </c>
      <c r="M136" s="3" t="inlineStr">
        <is>
          <t>5 + 5 = 10.</t>
        </is>
      </c>
      <c r="N136" s="3" t="n"/>
      <c r="O136" s="14" t="n">
        <v>40</v>
      </c>
      <c r="P136" s="14">
        <f>INDEX(Khung_cap_do!$H$2:$H$6,H136)</f>
        <v/>
      </c>
      <c r="Q136" s="3" t="inlineStr">
        <is>
          <t>T1.PT.02</t>
        </is>
      </c>
      <c r="R136" s="3" t="inlineStr">
        <is>
          <t>TOAN.TINH</t>
        </is>
      </c>
    </row>
    <row r="137">
      <c r="A137" s="3" t="inlineStr">
        <is>
          <t>toan1-kntt-b18-q2</t>
        </is>
      </c>
      <c r="B137" s="3" t="inlineStr">
        <is>
          <t>Toán</t>
        </is>
      </c>
      <c r="C137" s="3" t="inlineStr">
        <is>
          <t>Kết nối tri thức</t>
        </is>
      </c>
      <c r="D137" s="3" t="inlineStr">
        <is>
          <t>Bài 18</t>
        </is>
      </c>
      <c r="E137" s="3" t="inlineStr">
        <is>
          <t>Chủ đề 5. Ôn tập học kì 1</t>
        </is>
      </c>
      <c r="F137" s="3" t="inlineStr">
        <is>
          <t>Bài 18. Ôn tập phép cộng, phép trừ trong phạm vi 10</t>
        </is>
      </c>
      <c r="G137" s="3" t="inlineStr">
        <is>
          <t>Điền đáp án</t>
        </is>
      </c>
      <c r="H137" s="14" t="n">
        <v>1</v>
      </c>
      <c r="I137" s="3" t="inlineStr">
        <is>
          <t>Làm quen</t>
        </is>
      </c>
      <c r="J137" s="3" t="inlineStr">
        <is>
          <t>9 - 7 = ...</t>
        </is>
      </c>
      <c r="K137" s="3" t="inlineStr"/>
      <c r="L137" s="3" t="inlineStr">
        <is>
          <t>2</t>
        </is>
      </c>
      <c r="M137" s="3" t="inlineStr">
        <is>
          <t>9 - 7 = 2.</t>
        </is>
      </c>
      <c r="N137" s="3" t="n"/>
      <c r="O137" s="14" t="n">
        <v>40</v>
      </c>
      <c r="P137" s="14">
        <f>INDEX(Khung_cap_do!$H$2:$H$6,H137)</f>
        <v/>
      </c>
      <c r="Q137" s="3" t="inlineStr">
        <is>
          <t>T1.PT.02</t>
        </is>
      </c>
      <c r="R137" s="3" t="inlineStr">
        <is>
          <t>TOAN.TINH</t>
        </is>
      </c>
    </row>
    <row r="138">
      <c r="A138" s="3" t="inlineStr">
        <is>
          <t>toan1-kntt-b18-q3</t>
        </is>
      </c>
      <c r="B138" s="3" t="inlineStr">
        <is>
          <t>Toán</t>
        </is>
      </c>
      <c r="C138" s="3" t="inlineStr">
        <is>
          <t>Kết nối tri thức</t>
        </is>
      </c>
      <c r="D138" s="3" t="inlineStr">
        <is>
          <t>Bài 18</t>
        </is>
      </c>
      <c r="E138" s="3" t="inlineStr">
        <is>
          <t>Chủ đề 5. Ôn tập học kì 1</t>
        </is>
      </c>
      <c r="F138" s="3" t="inlineStr">
        <is>
          <t>Bài 18. Ôn tập phép cộng, phép trừ trong phạm vi 10</t>
        </is>
      </c>
      <c r="G138" s="3" t="inlineStr">
        <is>
          <t>Điền đáp án</t>
        </is>
      </c>
      <c r="H138" s="14" t="n">
        <v>2</v>
      </c>
      <c r="I138" s="3" t="inlineStr">
        <is>
          <t>Cơ bản</t>
        </is>
      </c>
      <c r="J138" s="3" t="inlineStr">
        <is>
          <t>... + 3 = 7</t>
        </is>
      </c>
      <c r="K138" s="3" t="inlineStr"/>
      <c r="L138" s="3" t="inlineStr">
        <is>
          <t>4</t>
        </is>
      </c>
      <c r="M138" s="3" t="inlineStr">
        <is>
          <t>4 + 3 = 7.</t>
        </is>
      </c>
      <c r="N138" s="3" t="n"/>
      <c r="O138" s="14" t="n">
        <v>50</v>
      </c>
      <c r="P138" s="14">
        <f>INDEX(Khung_cap_do!$H$2:$H$6,H138)</f>
        <v/>
      </c>
      <c r="Q138" s="3" t="inlineStr">
        <is>
          <t>T1.PT.02</t>
        </is>
      </c>
      <c r="R138" s="3" t="inlineStr">
        <is>
          <t>TOAN.SOTHIEU</t>
        </is>
      </c>
    </row>
    <row r="139">
      <c r="A139" s="3" t="inlineStr">
        <is>
          <t>toan1-kntt-b18-q4</t>
        </is>
      </c>
      <c r="B139" s="3" t="inlineStr">
        <is>
          <t>Toán</t>
        </is>
      </c>
      <c r="C139" s="3" t="inlineStr">
        <is>
          <t>Kết nối tri thức</t>
        </is>
      </c>
      <c r="D139" s="3" t="inlineStr">
        <is>
          <t>Bài 18</t>
        </is>
      </c>
      <c r="E139" s="3" t="inlineStr">
        <is>
          <t>Chủ đề 5. Ôn tập học kì 1</t>
        </is>
      </c>
      <c r="F139" s="3" t="inlineStr">
        <is>
          <t>Bài 18. Ôn tập phép cộng, phép trừ trong phạm vi 10</t>
        </is>
      </c>
      <c r="G139" s="3" t="inlineStr">
        <is>
          <t>Điền đáp án</t>
        </is>
      </c>
      <c r="H139" s="14" t="n">
        <v>3</v>
      </c>
      <c r="I139" s="3" t="inlineStr">
        <is>
          <t>Vận dụng</t>
        </is>
      </c>
      <c r="J139" s="3" t="inlineStr">
        <is>
          <t>8 - 4 + 3 = ...</t>
        </is>
      </c>
      <c r="K139" s="3" t="inlineStr"/>
      <c r="L139" s="3" t="inlineStr">
        <is>
          <t>7</t>
        </is>
      </c>
      <c r="M139" s="3" t="inlineStr">
        <is>
          <t>8 - 4 = 4; 4 + 3 = 7.</t>
        </is>
      </c>
      <c r="N139" s="3" t="inlineStr">
        <is>
          <t>Tính lần lượt từ trái sang phải. Bước 1: 8 - 4 = 4. Bước 2: 4 + 3 = 7. Kết quả là 7.</t>
        </is>
      </c>
      <c r="O139" s="14" t="n">
        <v>60</v>
      </c>
      <c r="P139" s="14">
        <f>INDEX(Khung_cap_do!$H$2:$H$6,H139)</f>
        <v/>
      </c>
      <c r="Q139" s="3" t="inlineStr">
        <is>
          <t>T1.PT.06</t>
        </is>
      </c>
      <c r="R139" s="3" t="inlineStr">
        <is>
          <t>TOAN.TINH</t>
        </is>
      </c>
    </row>
    <row r="140">
      <c r="A140" s="3" t="inlineStr">
        <is>
          <t>toan1-kntt-b18-q5</t>
        </is>
      </c>
      <c r="B140" s="3" t="inlineStr">
        <is>
          <t>Toán</t>
        </is>
      </c>
      <c r="C140" s="3" t="inlineStr">
        <is>
          <t>Kết nối tri thức</t>
        </is>
      </c>
      <c r="D140" s="3" t="inlineStr">
        <is>
          <t>Bài 18</t>
        </is>
      </c>
      <c r="E140" s="3" t="inlineStr">
        <is>
          <t>Chủ đề 5. Ôn tập học kì 1</t>
        </is>
      </c>
      <c r="F140" s="3" t="inlineStr">
        <is>
          <t>Bài 18. Ôn tập phép cộng, phép trừ trong phạm vi 10</t>
        </is>
      </c>
      <c r="G140" s="3" t="inlineStr">
        <is>
          <t>Chọn đáp án</t>
        </is>
      </c>
      <c r="H140" s="14" t="n">
        <v>3</v>
      </c>
      <c r="I140" s="3" t="inlineStr">
        <is>
          <t>Vận dụng</t>
        </is>
      </c>
      <c r="J140" s="3" t="inlineStr">
        <is>
          <t>Trong chuồng có 7 con gà, 2 con chạy ra sân. Trong chuồng còn mấy con gà?</t>
        </is>
      </c>
      <c r="K140" s="3" t="inlineStr">
        <is>
          <t>A. 5 | B. 6 | C. 9</t>
        </is>
      </c>
      <c r="L140" s="3" t="inlineStr">
        <is>
          <t>A</t>
        </is>
      </c>
      <c r="M140" s="3" t="inlineStr">
        <is>
          <t>7 - 2 = 5 con gà.</t>
        </is>
      </c>
      <c r="N140" s="3" t="inlineStr">
        <is>
          <t>"Chạy ra sân" nghĩa là trong chuồng bớt đi 2 con. Phép tính: 7 - 2 = 5. Trong chuồng còn 5 con gà.</t>
        </is>
      </c>
      <c r="O140" s="14" t="n">
        <v>60</v>
      </c>
      <c r="P140" s="14">
        <f>INDEX(Khung_cap_do!$H$2:$H$6,H140)</f>
        <v/>
      </c>
      <c r="Q140" s="3" t="inlineStr">
        <is>
          <t>T1.PT.07</t>
        </is>
      </c>
      <c r="R140" s="3" t="inlineStr">
        <is>
          <t>TOAN.LOIVAN</t>
        </is>
      </c>
    </row>
    <row r="141">
      <c r="A141" s="3" t="inlineStr">
        <is>
          <t>toan1-kntt-b18-q6</t>
        </is>
      </c>
      <c r="B141" s="3" t="inlineStr">
        <is>
          <t>Toán</t>
        </is>
      </c>
      <c r="C141" s="3" t="inlineStr">
        <is>
          <t>Kết nối tri thức</t>
        </is>
      </c>
      <c r="D141" s="3" t="inlineStr">
        <is>
          <t>Bài 18</t>
        </is>
      </c>
      <c r="E141" s="3" t="inlineStr">
        <is>
          <t>Chủ đề 5. Ôn tập học kì 1</t>
        </is>
      </c>
      <c r="F141" s="3" t="inlineStr">
        <is>
          <t>Bài 18. Ôn tập phép cộng, phép trừ trong phạm vi 10</t>
        </is>
      </c>
      <c r="G141" s="3" t="inlineStr">
        <is>
          <t>Đúng / Sai</t>
        </is>
      </c>
      <c r="H141" s="14" t="n">
        <v>2</v>
      </c>
      <c r="I141" s="3" t="inlineStr">
        <is>
          <t>Cơ bản</t>
        </is>
      </c>
      <c r="J141" s="3" t="inlineStr">
        <is>
          <t>3 + 6 = 6 + 3. Đúng hay sai?</t>
        </is>
      </c>
      <c r="K141" s="3" t="inlineStr">
        <is>
          <t>A. Đúng | B. Sai</t>
        </is>
      </c>
      <c r="L141" s="3" t="inlineStr">
        <is>
          <t>A</t>
        </is>
      </c>
      <c r="M141" s="3" t="inlineStr">
        <is>
          <t>Đổi chỗ các số trong phép cộng, kết quả vẫn là 9.</t>
        </is>
      </c>
      <c r="N141" s="3" t="n"/>
      <c r="O141" s="14" t="n">
        <v>40</v>
      </c>
      <c r="P141" s="14">
        <f>INDEX(Khung_cap_do!$H$2:$H$6,H141)</f>
        <v/>
      </c>
      <c r="Q141" s="3" t="inlineStr">
        <is>
          <t>T1.PT.02</t>
        </is>
      </c>
      <c r="R141" s="3" t="inlineStr">
        <is>
          <t>TOAN.DUNGSAI</t>
        </is>
      </c>
    </row>
    <row r="142">
      <c r="A142" s="3" t="inlineStr">
        <is>
          <t>toan1-kntt-b19-q1</t>
        </is>
      </c>
      <c r="B142" s="3" t="inlineStr">
        <is>
          <t>Toán</t>
        </is>
      </c>
      <c r="C142" s="3" t="inlineStr">
        <is>
          <t>Kết nối tri thức</t>
        </is>
      </c>
      <c r="D142" s="3" t="inlineStr">
        <is>
          <t>Bài 19</t>
        </is>
      </c>
      <c r="E142" s="3" t="inlineStr">
        <is>
          <t>Chủ đề 5. Ôn tập học kì 1</t>
        </is>
      </c>
      <c r="F142" s="3" t="inlineStr">
        <is>
          <t>Bài 19. Ôn tập hình học</t>
        </is>
      </c>
      <c r="G142" s="3" t="inlineStr">
        <is>
          <t>Chọn đáp án</t>
        </is>
      </c>
      <c r="H142" s="14" t="n">
        <v>1</v>
      </c>
      <c r="I142" s="3" t="inlineStr">
        <is>
          <t>Làm quen</t>
        </is>
      </c>
      <c r="J142" s="3" t="inlineStr">
        <is>
          <t>Hình có 3 cạnh là hình gì?</t>
        </is>
      </c>
      <c r="K142" s="3" t="inlineStr">
        <is>
          <t>A. Hình tam giác | B. Hình vuông | C. Hình tròn</t>
        </is>
      </c>
      <c r="L142" s="3" t="inlineStr">
        <is>
          <t>A</t>
        </is>
      </c>
      <c r="M142" s="3" t="inlineStr">
        <is>
          <t>Hình tam giác có 3 cạnh.</t>
        </is>
      </c>
      <c r="N142" s="3" t="n"/>
      <c r="O142" s="14" t="n">
        <v>30</v>
      </c>
      <c r="P142" s="14">
        <f>INDEX(Khung_cap_do!$H$2:$H$6,H142)</f>
        <v/>
      </c>
      <c r="Q142" s="3" t="inlineStr">
        <is>
          <t>T1.HH.02</t>
        </is>
      </c>
      <c r="R142" s="3" t="inlineStr">
        <is>
          <t>TOAN.HINH</t>
        </is>
      </c>
    </row>
    <row r="143">
      <c r="A143" s="3" t="inlineStr">
        <is>
          <t>toan1-kntt-b19-q2</t>
        </is>
      </c>
      <c r="B143" s="3" t="inlineStr">
        <is>
          <t>Toán</t>
        </is>
      </c>
      <c r="C143" s="3" t="inlineStr">
        <is>
          <t>Kết nối tri thức</t>
        </is>
      </c>
      <c r="D143" s="3" t="inlineStr">
        <is>
          <t>Bài 19</t>
        </is>
      </c>
      <c r="E143" s="3" t="inlineStr">
        <is>
          <t>Chủ đề 5. Ôn tập học kì 1</t>
        </is>
      </c>
      <c r="F143" s="3" t="inlineStr">
        <is>
          <t>Bài 19. Ôn tập hình học</t>
        </is>
      </c>
      <c r="G143" s="3" t="inlineStr">
        <is>
          <t>Chọn đáp án</t>
        </is>
      </c>
      <c r="H143" s="14" t="n">
        <v>2</v>
      </c>
      <c r="I143" s="3" t="inlineStr">
        <is>
          <t>Cơ bản</t>
        </is>
      </c>
      <c r="J143" s="3" t="inlineStr">
        <is>
          <t>Viên đá lạnh hình vuông, các mặt đều là hình vuông, có dạng khối gì?</t>
        </is>
      </c>
      <c r="K143" s="3" t="inlineStr">
        <is>
          <t>A. Khối lập phương | B. Khối hộp chữ nhật</t>
        </is>
      </c>
      <c r="L143" s="3" t="inlineStr">
        <is>
          <t>A</t>
        </is>
      </c>
      <c r="M143" s="3" t="inlineStr">
        <is>
          <t>Các mặt đều là hình vuông: khối lập phương.</t>
        </is>
      </c>
      <c r="N143" s="3" t="n"/>
      <c r="O143" s="14" t="n">
        <v>50</v>
      </c>
      <c r="P143" s="14">
        <f>INDEX(Khung_cap_do!$H$2:$H$6,H143)</f>
        <v/>
      </c>
      <c r="Q143" s="3" t="inlineStr">
        <is>
          <t>T1.HH.03</t>
        </is>
      </c>
      <c r="R143" s="3" t="inlineStr">
        <is>
          <t>TOAN.HINH</t>
        </is>
      </c>
    </row>
    <row r="144">
      <c r="A144" s="3" t="inlineStr">
        <is>
          <t>toan1-kntt-b19-q3</t>
        </is>
      </c>
      <c r="B144" s="3" t="inlineStr">
        <is>
          <t>Toán</t>
        </is>
      </c>
      <c r="C144" s="3" t="inlineStr">
        <is>
          <t>Kết nối tri thức</t>
        </is>
      </c>
      <c r="D144" s="3" t="inlineStr">
        <is>
          <t>Bài 19</t>
        </is>
      </c>
      <c r="E144" s="3" t="inlineStr">
        <is>
          <t>Chủ đề 5. Ôn tập học kì 1</t>
        </is>
      </c>
      <c r="F144" s="3" t="inlineStr">
        <is>
          <t>Bài 19. Ôn tập hình học</t>
        </is>
      </c>
      <c r="G144" s="3" t="inlineStr">
        <is>
          <t>Điền đáp án</t>
        </is>
      </c>
      <c r="H144" s="14" t="n">
        <v>2</v>
      </c>
      <c r="I144" s="3" t="inlineStr">
        <is>
          <t>Cơ bản</t>
        </is>
      </c>
      <c r="J144" s="3" t="inlineStr">
        <is>
          <t>🟩🔺🟩🔵🟩
Có mấy hình vuông?</t>
        </is>
      </c>
      <c r="K144" s="3" t="inlineStr"/>
      <c r="L144" s="3" t="inlineStr">
        <is>
          <t>3 / ba</t>
        </is>
      </c>
      <c r="M144" s="3" t="inlineStr">
        <is>
          <t>Có 3 hình vuông 🟩.</t>
        </is>
      </c>
      <c r="N144" s="3" t="n"/>
      <c r="O144" s="14" t="n">
        <v>50</v>
      </c>
      <c r="P144" s="14">
        <f>INDEX(Khung_cap_do!$H$2:$H$6,H144)</f>
        <v/>
      </c>
      <c r="Q144" s="3" t="inlineStr">
        <is>
          <t>T1.HH.02</t>
        </is>
      </c>
      <c r="R144" s="3" t="inlineStr">
        <is>
          <t>TOAN.DEM</t>
        </is>
      </c>
    </row>
    <row r="145">
      <c r="A145" s="3" t="inlineStr">
        <is>
          <t>toan1-kntt-b19-q4</t>
        </is>
      </c>
      <c r="B145" s="3" t="inlineStr">
        <is>
          <t>Toán</t>
        </is>
      </c>
      <c r="C145" s="3" t="inlineStr">
        <is>
          <t>Kết nối tri thức</t>
        </is>
      </c>
      <c r="D145" s="3" t="inlineStr">
        <is>
          <t>Bài 19</t>
        </is>
      </c>
      <c r="E145" s="3" t="inlineStr">
        <is>
          <t>Chủ đề 5. Ôn tập học kì 1</t>
        </is>
      </c>
      <c r="F145" s="3" t="inlineStr">
        <is>
          <t>Bài 19. Ôn tập hình học</t>
        </is>
      </c>
      <c r="G145" s="3" t="inlineStr">
        <is>
          <t>Chọn đáp án</t>
        </is>
      </c>
      <c r="H145" s="14" t="n">
        <v>2</v>
      </c>
      <c r="I145" s="3" t="inlineStr">
        <is>
          <t>Cơ bản</t>
        </is>
      </c>
      <c r="J145" s="3" t="inlineStr">
        <is>
          <t>⭐🌙☀️
Hình mặt trăng ở đâu?</t>
        </is>
      </c>
      <c r="K145" s="3" t="inlineStr">
        <is>
          <t>A. Ở giữa | B. Bên trái | C. Bên phải</t>
        </is>
      </c>
      <c r="L145" s="3" t="inlineStr">
        <is>
          <t>A</t>
        </is>
      </c>
      <c r="M145" s="3" t="inlineStr">
        <is>
          <t>Mặt trăng ở giữa ngôi sao và mặt trời.</t>
        </is>
      </c>
      <c r="N145" s="3" t="n"/>
      <c r="O145" s="14" t="n">
        <v>40</v>
      </c>
      <c r="P145" s="14">
        <f>INDEX(Khung_cap_do!$H$2:$H$6,H145)</f>
        <v/>
      </c>
      <c r="Q145" s="3" t="inlineStr">
        <is>
          <t>T1.HH.01</t>
        </is>
      </c>
      <c r="R145" s="3" t="inlineStr">
        <is>
          <t>TOAN.HINH</t>
        </is>
      </c>
    </row>
    <row r="146">
      <c r="A146" s="3" t="inlineStr">
        <is>
          <t>toan1-kntt-b19-q5</t>
        </is>
      </c>
      <c r="B146" s="3" t="inlineStr">
        <is>
          <t>Toán</t>
        </is>
      </c>
      <c r="C146" s="3" t="inlineStr">
        <is>
          <t>Kết nối tri thức</t>
        </is>
      </c>
      <c r="D146" s="3" t="inlineStr">
        <is>
          <t>Bài 19</t>
        </is>
      </c>
      <c r="E146" s="3" t="inlineStr">
        <is>
          <t>Chủ đề 5. Ôn tập học kì 1</t>
        </is>
      </c>
      <c r="F146" s="3" t="inlineStr">
        <is>
          <t>Bài 19. Ôn tập hình học</t>
        </is>
      </c>
      <c r="G146" s="3" t="inlineStr">
        <is>
          <t>Đúng / Sai</t>
        </is>
      </c>
      <c r="H146" s="14" t="n">
        <v>2</v>
      </c>
      <c r="I146" s="3" t="inlineStr">
        <is>
          <t>Cơ bản</t>
        </is>
      </c>
      <c r="J146" s="3" t="inlineStr">
        <is>
          <t>Quả bóng có dạng khối lập phương. Đúng hay sai?</t>
        </is>
      </c>
      <c r="K146" s="3" t="inlineStr">
        <is>
          <t>A. Đúng | B. Sai</t>
        </is>
      </c>
      <c r="L146" s="3" t="inlineStr">
        <is>
          <t>B</t>
        </is>
      </c>
      <c r="M146" s="3" t="inlineStr">
        <is>
          <t>Quả bóng tròn, lăn được, không phải khối lập phương.</t>
        </is>
      </c>
      <c r="N146" s="3" t="n"/>
      <c r="O146" s="14" t="n">
        <v>40</v>
      </c>
      <c r="P146" s="14">
        <f>INDEX(Khung_cap_do!$H$2:$H$6,H146)</f>
        <v/>
      </c>
      <c r="Q146" s="3" t="inlineStr">
        <is>
          <t>T1.HH.03</t>
        </is>
      </c>
      <c r="R146" s="3" t="inlineStr">
        <is>
          <t>TOAN.DUNGSAI</t>
        </is>
      </c>
    </row>
    <row r="147">
      <c r="A147" s="3" t="inlineStr">
        <is>
          <t>toan1-kntt-b19-q6</t>
        </is>
      </c>
      <c r="B147" s="3" t="inlineStr">
        <is>
          <t>Toán</t>
        </is>
      </c>
      <c r="C147" s="3" t="inlineStr">
        <is>
          <t>Kết nối tri thức</t>
        </is>
      </c>
      <c r="D147" s="3" t="inlineStr">
        <is>
          <t>Bài 19</t>
        </is>
      </c>
      <c r="E147" s="3" t="inlineStr">
        <is>
          <t>Chủ đề 5. Ôn tập học kì 1</t>
        </is>
      </c>
      <c r="F147" s="3" t="inlineStr">
        <is>
          <t>Bài 19. Ôn tập hình học</t>
        </is>
      </c>
      <c r="G147" s="3" t="inlineStr">
        <is>
          <t>Điền đáp án</t>
        </is>
      </c>
      <c r="H147" s="14" t="n">
        <v>3</v>
      </c>
      <c r="I147" s="3" t="inlineStr">
        <is>
          <t>Vận dụng</t>
        </is>
      </c>
      <c r="J147" s="3" t="inlineStr">
        <is>
          <t>Bạn Minh xếp một ngôi nhà bằng que tính: thân nhà là 1 hình vuông, mái nhà là 1 hình tam giác dùng chung cạnh trên với hình vuông. Bạn cần tất cả mấy que tính?</t>
        </is>
      </c>
      <c r="K147" s="3" t="inlineStr"/>
      <c r="L147" s="3" t="inlineStr">
        <is>
          <t>6 / sáu</t>
        </is>
      </c>
      <c r="M147" s="3" t="inlineStr">
        <is>
          <t>Hình vuông 4 que, mái thêm 2 que (cạnh dưới mái dùng chung): 4 + 2 = 6.</t>
        </is>
      </c>
      <c r="N147" s="3" t="inlineStr">
        <is>
          <t>Thân nhà là hình vuông cần 4 que. Mái là hình tam giác có 3 cạnh, nhưng cạnh dưới trùng với cạnh trên của hình vuông nên chỉ cần thêm 2 que. Tất cả: 4 + 2 = 6 que.</t>
        </is>
      </c>
      <c r="O147" s="14" t="n">
        <v>70</v>
      </c>
      <c r="P147" s="14">
        <f>INDEX(Khung_cap_do!$H$2:$H$6,H147)</f>
        <v/>
      </c>
      <c r="Q147" s="3" t="inlineStr">
        <is>
          <t>T1.HH.04</t>
        </is>
      </c>
      <c r="R147" s="3" t="inlineStr">
        <is>
          <t>TOAN.HINH</t>
        </is>
      </c>
    </row>
    <row r="148">
      <c r="A148" s="3" t="inlineStr">
        <is>
          <t>toan1-kntt-b20-q1</t>
        </is>
      </c>
      <c r="B148" s="3" t="inlineStr">
        <is>
          <t>Toán</t>
        </is>
      </c>
      <c r="C148" s="3" t="inlineStr">
        <is>
          <t>Kết nối tri thức</t>
        </is>
      </c>
      <c r="D148" s="3" t="inlineStr">
        <is>
          <t>Bài 20</t>
        </is>
      </c>
      <c r="E148" s="3" t="inlineStr">
        <is>
          <t>Chủ đề 5. Ôn tập học kì 1</t>
        </is>
      </c>
      <c r="F148" s="3" t="inlineStr">
        <is>
          <t>Bài 20. Ôn tập chung</t>
        </is>
      </c>
      <c r="G148" s="3" t="inlineStr">
        <is>
          <t>Chọn đáp án</t>
        </is>
      </c>
      <c r="H148" s="14" t="n">
        <v>1</v>
      </c>
      <c r="I148" s="3" t="inlineStr">
        <is>
          <t>Làm quen</t>
        </is>
      </c>
      <c r="J148" s="3" t="inlineStr">
        <is>
          <t>🍒🍒🍒🍒🍒🍒
Có mấy quả anh đào?</t>
        </is>
      </c>
      <c r="K148" s="3" t="inlineStr">
        <is>
          <t>A. 5 | B. 6 | C. 7</t>
        </is>
      </c>
      <c r="L148" s="3" t="inlineStr">
        <is>
          <t>B</t>
        </is>
      </c>
      <c r="M148" s="3" t="inlineStr">
        <is>
          <t>Có 6 quả.</t>
        </is>
      </c>
      <c r="N148" s="3" t="n"/>
      <c r="O148" s="14" t="n">
        <v>30</v>
      </c>
      <c r="P148" s="14">
        <f>INDEX(Khung_cap_do!$H$2:$H$6,H148)</f>
        <v/>
      </c>
      <c r="Q148" s="3" t="inlineStr">
        <is>
          <t>T1.SO.01</t>
        </is>
      </c>
      <c r="R148" s="3" t="inlineStr">
        <is>
          <t>TOAN.DEM</t>
        </is>
      </c>
    </row>
    <row r="149">
      <c r="A149" s="3" t="inlineStr">
        <is>
          <t>toan1-kntt-b20-q2</t>
        </is>
      </c>
      <c r="B149" s="3" t="inlineStr">
        <is>
          <t>Toán</t>
        </is>
      </c>
      <c r="C149" s="3" t="inlineStr">
        <is>
          <t>Kết nối tri thức</t>
        </is>
      </c>
      <c r="D149" s="3" t="inlineStr">
        <is>
          <t>Bài 20</t>
        </is>
      </c>
      <c r="E149" s="3" t="inlineStr">
        <is>
          <t>Chủ đề 5. Ôn tập học kì 1</t>
        </is>
      </c>
      <c r="F149" s="3" t="inlineStr">
        <is>
          <t>Bài 20. Ôn tập chung</t>
        </is>
      </c>
      <c r="G149" s="3" t="inlineStr">
        <is>
          <t>Điền đáp án</t>
        </is>
      </c>
      <c r="H149" s="14" t="n">
        <v>2</v>
      </c>
      <c r="I149" s="3" t="inlineStr">
        <is>
          <t>Cơ bản</t>
        </is>
      </c>
      <c r="J149" s="3" t="inlineStr">
        <is>
          <t>4 + 6 - 5 = ...</t>
        </is>
      </c>
      <c r="K149" s="3" t="inlineStr"/>
      <c r="L149" s="3" t="inlineStr">
        <is>
          <t>5</t>
        </is>
      </c>
      <c r="M149" s="3" t="inlineStr">
        <is>
          <t>4 + 6 = 10; 10 - 5 = 5.</t>
        </is>
      </c>
      <c r="N149" s="3" t="n"/>
      <c r="O149" s="14" t="n">
        <v>50</v>
      </c>
      <c r="P149" s="14">
        <f>INDEX(Khung_cap_do!$H$2:$H$6,H149)</f>
        <v/>
      </c>
      <c r="Q149" s="3" t="inlineStr">
        <is>
          <t>T1.PT.06</t>
        </is>
      </c>
      <c r="R149" s="3" t="inlineStr">
        <is>
          <t>TOAN.TINH</t>
        </is>
      </c>
    </row>
    <row r="150">
      <c r="A150" s="3" t="inlineStr">
        <is>
          <t>toan1-kntt-b20-q3</t>
        </is>
      </c>
      <c r="B150" s="3" t="inlineStr">
        <is>
          <t>Toán</t>
        </is>
      </c>
      <c r="C150" s="3" t="inlineStr">
        <is>
          <t>Kết nối tri thức</t>
        </is>
      </c>
      <c r="D150" s="3" t="inlineStr">
        <is>
          <t>Bài 20</t>
        </is>
      </c>
      <c r="E150" s="3" t="inlineStr">
        <is>
          <t>Chủ đề 5. Ôn tập học kì 1</t>
        </is>
      </c>
      <c r="F150" s="3" t="inlineStr">
        <is>
          <t>Bài 20. Ôn tập chung</t>
        </is>
      </c>
      <c r="G150" s="3" t="inlineStr">
        <is>
          <t>Chọn đáp án</t>
        </is>
      </c>
      <c r="H150" s="14" t="n">
        <v>2</v>
      </c>
      <c r="I150" s="3" t="inlineStr">
        <is>
          <t>Cơ bản</t>
        </is>
      </c>
      <c r="J150" s="3" t="inlineStr">
        <is>
          <t>Chọn dấu đúng: 9 - 3 ... 6</t>
        </is>
      </c>
      <c r="K150" s="3" t="inlineStr">
        <is>
          <t>A. &gt; | B. &lt; | C. =</t>
        </is>
      </c>
      <c r="L150" s="3" t="inlineStr">
        <is>
          <t>C</t>
        </is>
      </c>
      <c r="M150" s="3" t="inlineStr">
        <is>
          <t>9 - 3 = 6, bằng 6.</t>
        </is>
      </c>
      <c r="N150" s="3" t="n"/>
      <c r="O150" s="14" t="n">
        <v>40</v>
      </c>
      <c r="P150" s="14">
        <f>INDEX(Khung_cap_do!$H$2:$H$6,H150)</f>
        <v/>
      </c>
      <c r="Q150" s="3" t="inlineStr">
        <is>
          <t>T1.PT.06</t>
        </is>
      </c>
      <c r="R150" s="3" t="inlineStr">
        <is>
          <t>TOAN.SOSANH</t>
        </is>
      </c>
    </row>
    <row r="151">
      <c r="A151" s="3" t="inlineStr">
        <is>
          <t>toan1-kntt-b20-q4</t>
        </is>
      </c>
      <c r="B151" s="3" t="inlineStr">
        <is>
          <t>Toán</t>
        </is>
      </c>
      <c r="C151" s="3" t="inlineStr">
        <is>
          <t>Kết nối tri thức</t>
        </is>
      </c>
      <c r="D151" s="3" t="inlineStr">
        <is>
          <t>Bài 20</t>
        </is>
      </c>
      <c r="E151" s="3" t="inlineStr">
        <is>
          <t>Chủ đề 5. Ôn tập học kì 1</t>
        </is>
      </c>
      <c r="F151" s="3" t="inlineStr">
        <is>
          <t>Bài 20. Ôn tập chung</t>
        </is>
      </c>
      <c r="G151" s="3" t="inlineStr">
        <is>
          <t>Chọn đáp án</t>
        </is>
      </c>
      <c r="H151" s="14" t="n">
        <v>1</v>
      </c>
      <c r="I151" s="3" t="inlineStr">
        <is>
          <t>Làm quen</t>
        </is>
      </c>
      <c r="J151" s="3" t="inlineStr">
        <is>
          <t>Hình nào có 4 cạnh bằng nhau?</t>
        </is>
      </c>
      <c r="K151" s="3" t="inlineStr">
        <is>
          <t>A. Hình vuông | B. Hình tam giác | C. Hình tròn</t>
        </is>
      </c>
      <c r="L151" s="3" t="inlineStr">
        <is>
          <t>A</t>
        </is>
      </c>
      <c r="M151" s="3" t="inlineStr">
        <is>
          <t>Hình vuông có 4 cạnh bằng nhau.</t>
        </is>
      </c>
      <c r="N151" s="3" t="n"/>
      <c r="O151" s="14" t="n">
        <v>30</v>
      </c>
      <c r="P151" s="14">
        <f>INDEX(Khung_cap_do!$H$2:$H$6,H151)</f>
        <v/>
      </c>
      <c r="Q151" s="3" t="inlineStr">
        <is>
          <t>T1.HH.02</t>
        </is>
      </c>
      <c r="R151" s="3" t="inlineStr">
        <is>
          <t>TOAN.HINH</t>
        </is>
      </c>
    </row>
    <row r="152">
      <c r="A152" s="3" t="inlineStr">
        <is>
          <t>toan1-kntt-b20-q5</t>
        </is>
      </c>
      <c r="B152" s="3" t="inlineStr">
        <is>
          <t>Toán</t>
        </is>
      </c>
      <c r="C152" s="3" t="inlineStr">
        <is>
          <t>Kết nối tri thức</t>
        </is>
      </c>
      <c r="D152" s="3" t="inlineStr">
        <is>
          <t>Bài 20</t>
        </is>
      </c>
      <c r="E152" s="3" t="inlineStr">
        <is>
          <t>Chủ đề 5. Ôn tập học kì 1</t>
        </is>
      </c>
      <c r="F152" s="3" t="inlineStr">
        <is>
          <t>Bài 20. Ôn tập chung</t>
        </is>
      </c>
      <c r="G152" s="3" t="inlineStr">
        <is>
          <t>Điền đáp án</t>
        </is>
      </c>
      <c r="H152" s="14" t="n">
        <v>3</v>
      </c>
      <c r="I152" s="3" t="inlineStr">
        <is>
          <t>Vận dụng</t>
        </is>
      </c>
      <c r="J152" s="3" t="inlineStr">
        <is>
          <t>Một hộp có 10 cái bánh. Em ăn 2 cái, mẹ ăn 3 cái. Trong hộp còn mấy cái bánh?</t>
        </is>
      </c>
      <c r="K152" s="3" t="inlineStr"/>
      <c r="L152" s="3" t="inlineStr">
        <is>
          <t>5 / năm</t>
        </is>
      </c>
      <c r="M152" s="3" t="inlineStr">
        <is>
          <t>10 - 2 - 3 = 5 cái bánh.</t>
        </is>
      </c>
      <c r="N152" s="3" t="inlineStr">
        <is>
          <t>Bước 1: em ăn 2 cái, còn 10 - 2 = 8 cái. Bước 2: mẹ ăn 3 cái, còn 8 - 3 = 5 cái. Trong hộp còn 5 cái bánh.</t>
        </is>
      </c>
      <c r="O152" s="14" t="n">
        <v>70</v>
      </c>
      <c r="P152" s="14">
        <f>INDEX(Khung_cap_do!$H$2:$H$6,H152)</f>
        <v/>
      </c>
      <c r="Q152" s="3" t="inlineStr">
        <is>
          <t>T1.PT.07</t>
        </is>
      </c>
      <c r="R152" s="3" t="inlineStr">
        <is>
          <t>TOAN.LOIVAN</t>
        </is>
      </c>
    </row>
    <row r="153">
      <c r="A153" s="3" t="inlineStr">
        <is>
          <t>toan1-kntt-b20-q6</t>
        </is>
      </c>
      <c r="B153" s="3" t="inlineStr">
        <is>
          <t>Toán</t>
        </is>
      </c>
      <c r="C153" s="3" t="inlineStr">
        <is>
          <t>Kết nối tri thức</t>
        </is>
      </c>
      <c r="D153" s="3" t="inlineStr">
        <is>
          <t>Bài 20</t>
        </is>
      </c>
      <c r="E153" s="3" t="inlineStr">
        <is>
          <t>Chủ đề 5. Ôn tập học kì 1</t>
        </is>
      </c>
      <c r="F153" s="3" t="inlineStr">
        <is>
          <t>Bài 20. Ôn tập chung</t>
        </is>
      </c>
      <c r="G153" s="3" t="inlineStr">
        <is>
          <t>Sắp xếp</t>
        </is>
      </c>
      <c r="H153" s="14" t="n">
        <v>2</v>
      </c>
      <c r="I153" s="3" t="inlineStr">
        <is>
          <t>Cơ bản</t>
        </is>
      </c>
      <c r="J153" s="3" t="inlineStr">
        <is>
          <t>Xếp các số từ lớn đến bé</t>
        </is>
      </c>
      <c r="K153" s="3" t="inlineStr">
        <is>
          <t>0 / 10 / 3 / 7</t>
        </is>
      </c>
      <c r="L153" s="3" t="inlineStr">
        <is>
          <t>10 → 7 → 3 → 0</t>
        </is>
      </c>
      <c r="M153" s="3" t="inlineStr">
        <is>
          <t>10, 7, 3, 0.</t>
        </is>
      </c>
      <c r="N153" s="3" t="n"/>
      <c r="O153" s="14" t="n">
        <v>55</v>
      </c>
      <c r="P153" s="14">
        <f>INDEX(Khung_cap_do!$H$2:$H$6,H153)</f>
        <v/>
      </c>
      <c r="Q153" s="3" t="inlineStr">
        <is>
          <t>T1.SO.02</t>
        </is>
      </c>
      <c r="R153" s="3" t="inlineStr">
        <is>
          <t>TOAN.SAPXEP</t>
        </is>
      </c>
    </row>
    <row r="154">
      <c r="A154" s="3" t="inlineStr">
        <is>
          <t>toan1-kntt-b21-q1</t>
        </is>
      </c>
      <c r="B154" s="3" t="inlineStr">
        <is>
          <t>Toán</t>
        </is>
      </c>
      <c r="C154" s="3" t="inlineStr">
        <is>
          <t>Kết nối tri thức</t>
        </is>
      </c>
      <c r="D154" s="3" t="inlineStr">
        <is>
          <t>Bài 21</t>
        </is>
      </c>
      <c r="E154" s="3" t="inlineStr">
        <is>
          <t>Chủ đề 6. Các số đến 100</t>
        </is>
      </c>
      <c r="F154" s="3" t="inlineStr">
        <is>
          <t>Bài 21. Số có hai chữ số</t>
        </is>
      </c>
      <c r="G154" s="3" t="inlineStr">
        <is>
          <t>Chọn đáp án</t>
        </is>
      </c>
      <c r="H154" s="14" t="n">
        <v>1</v>
      </c>
      <c r="I154" s="3" t="inlineStr">
        <is>
          <t>Làm quen</t>
        </is>
      </c>
      <c r="J154" s="3" t="inlineStr">
        <is>
          <t>🎋🎋🎋 ❘❘❘❘
Mỗi 🎋 là một bó 1 chục que tính, mỗi ❘ là một que tính lẻ. Có tất cả bao nhiêu que tính?</t>
        </is>
      </c>
      <c r="K154" s="3" t="inlineStr">
        <is>
          <t>A. 7 | B. 34 | C. 43 | D. 30</t>
        </is>
      </c>
      <c r="L154" s="3" t="inlineStr">
        <is>
          <t>B</t>
        </is>
      </c>
      <c r="M154" s="3" t="inlineStr">
        <is>
          <t>3 bó là 3 chục, thêm 4 que lẻ: 34 que tính.</t>
        </is>
      </c>
      <c r="N154" s="3" t="n"/>
      <c r="O154" s="14" t="n">
        <v>40</v>
      </c>
      <c r="P154" s="14">
        <f>INDEX(Khung_cap_do!$H$2:$H$6,H154)</f>
        <v/>
      </c>
      <c r="Q154" s="3" t="inlineStr">
        <is>
          <t>T1.SO.05</t>
        </is>
      </c>
      <c r="R154" s="3" t="inlineStr">
        <is>
          <t>TOAN.DEM</t>
        </is>
      </c>
    </row>
    <row r="155">
      <c r="A155" s="3" t="inlineStr">
        <is>
          <t>toan1-kntt-b21-q2</t>
        </is>
      </c>
      <c r="B155" s="3" t="inlineStr">
        <is>
          <t>Toán</t>
        </is>
      </c>
      <c r="C155" s="3" t="inlineStr">
        <is>
          <t>Kết nối tri thức</t>
        </is>
      </c>
      <c r="D155" s="3" t="inlineStr">
        <is>
          <t>Bài 21</t>
        </is>
      </c>
      <c r="E155" s="3" t="inlineStr">
        <is>
          <t>Chủ đề 6. Các số đến 100</t>
        </is>
      </c>
      <c r="F155" s="3" t="inlineStr">
        <is>
          <t>Bài 21. Số có hai chữ số</t>
        </is>
      </c>
      <c r="G155" s="3" t="inlineStr">
        <is>
          <t>Điền đáp án</t>
        </is>
      </c>
      <c r="H155" s="14" t="n">
        <v>1</v>
      </c>
      <c r="I155" s="3" t="inlineStr">
        <is>
          <t>Làm quen</t>
        </is>
      </c>
      <c r="J155" s="3" t="inlineStr">
        <is>
          <t>Số gồm 5 chục và 2 đơn vị là số nào?</t>
        </is>
      </c>
      <c r="K155" s="3" t="inlineStr"/>
      <c r="L155" s="3" t="inlineStr">
        <is>
          <t>52</t>
        </is>
      </c>
      <c r="M155" s="3" t="inlineStr">
        <is>
          <t>5 chục và 2 đơn vị viết là 52.</t>
        </is>
      </c>
      <c r="N155" s="3" t="n"/>
      <c r="O155" s="14" t="n">
        <v>40</v>
      </c>
      <c r="P155" s="14">
        <f>INDEX(Khung_cap_do!$H$2:$H$6,H155)</f>
        <v/>
      </c>
      <c r="Q155" s="3" t="inlineStr">
        <is>
          <t>T1.SO.05</t>
        </is>
      </c>
      <c r="R155" s="3" t="inlineStr">
        <is>
          <t>TOAN.DOCVIET</t>
        </is>
      </c>
    </row>
    <row r="156">
      <c r="A156" s="3" t="inlineStr">
        <is>
          <t>toan1-kntt-b21-q3</t>
        </is>
      </c>
      <c r="B156" s="3" t="inlineStr">
        <is>
          <t>Toán</t>
        </is>
      </c>
      <c r="C156" s="3" t="inlineStr">
        <is>
          <t>Kết nối tri thức</t>
        </is>
      </c>
      <c r="D156" s="3" t="inlineStr">
        <is>
          <t>Bài 21</t>
        </is>
      </c>
      <c r="E156" s="3" t="inlineStr">
        <is>
          <t>Chủ đề 6. Các số đến 100</t>
        </is>
      </c>
      <c r="F156" s="3" t="inlineStr">
        <is>
          <t>Bài 21. Số có hai chữ số</t>
        </is>
      </c>
      <c r="G156" s="3" t="inlineStr">
        <is>
          <t>Chọn đáp án</t>
        </is>
      </c>
      <c r="H156" s="14" t="n">
        <v>2</v>
      </c>
      <c r="I156" s="3" t="inlineStr">
        <is>
          <t>Cơ bản</t>
        </is>
      </c>
      <c r="J156" s="3" t="inlineStr">
        <is>
          <t>Số 71 đọc là:</t>
        </is>
      </c>
      <c r="K156" s="3" t="inlineStr">
        <is>
          <t>A. bảy mươi một | B. bảy mươi mốt | C. mười bảy</t>
        </is>
      </c>
      <c r="L156" s="3" t="inlineStr">
        <is>
          <t>B</t>
        </is>
      </c>
      <c r="M156" s="3" t="inlineStr">
        <is>
          <t>71 đọc là "bảy mươi mốt" (từ 21 trở đi, 1 đơn vị đọc là "mốt").</t>
        </is>
      </c>
      <c r="N156" s="3" t="n"/>
      <c r="O156" s="14" t="n">
        <v>40</v>
      </c>
      <c r="P156" s="14">
        <f>INDEX(Khung_cap_do!$H$2:$H$6,H156)</f>
        <v/>
      </c>
      <c r="Q156" s="3" t="inlineStr">
        <is>
          <t>T1.SO.04</t>
        </is>
      </c>
      <c r="R156" s="3" t="inlineStr">
        <is>
          <t>TOAN.DOCVIET</t>
        </is>
      </c>
    </row>
    <row r="157">
      <c r="A157" s="3" t="inlineStr">
        <is>
          <t>toan1-kntt-b21-q4</t>
        </is>
      </c>
      <c r="B157" s="3" t="inlineStr">
        <is>
          <t>Toán</t>
        </is>
      </c>
      <c r="C157" s="3" t="inlineStr">
        <is>
          <t>Kết nối tri thức</t>
        </is>
      </c>
      <c r="D157" s="3" t="inlineStr">
        <is>
          <t>Bài 21</t>
        </is>
      </c>
      <c r="E157" s="3" t="inlineStr">
        <is>
          <t>Chủ đề 6. Các số đến 100</t>
        </is>
      </c>
      <c r="F157" s="3" t="inlineStr">
        <is>
          <t>Bài 21. Số có hai chữ số</t>
        </is>
      </c>
      <c r="G157" s="3" t="inlineStr">
        <is>
          <t>Điền đáp án</t>
        </is>
      </c>
      <c r="H157" s="14" t="n">
        <v>2</v>
      </c>
      <c r="I157" s="3" t="inlineStr">
        <is>
          <t>Cơ bản</t>
        </is>
      </c>
      <c r="J157" s="3" t="inlineStr">
        <is>
          <t>"Sáu mươi lăm" viết là số nào?</t>
        </is>
      </c>
      <c r="K157" s="3" t="inlineStr"/>
      <c r="L157" s="3" t="inlineStr">
        <is>
          <t>65</t>
        </is>
      </c>
      <c r="M157" s="3" t="inlineStr">
        <is>
          <t>Sáu chục và năm đơn vị: 65.</t>
        </is>
      </c>
      <c r="N157" s="3" t="n"/>
      <c r="O157" s="14" t="n">
        <v>50</v>
      </c>
      <c r="P157" s="14">
        <f>INDEX(Khung_cap_do!$H$2:$H$6,H157)</f>
        <v/>
      </c>
      <c r="Q157" s="3" t="inlineStr">
        <is>
          <t>T1.SO.04</t>
        </is>
      </c>
      <c r="R157" s="3" t="inlineStr">
        <is>
          <t>TOAN.DOCVIET</t>
        </is>
      </c>
    </row>
    <row r="158">
      <c r="A158" s="3" t="inlineStr">
        <is>
          <t>toan1-kntt-b21-q5</t>
        </is>
      </c>
      <c r="B158" s="3" t="inlineStr">
        <is>
          <t>Toán</t>
        </is>
      </c>
      <c r="C158" s="3" t="inlineStr">
        <is>
          <t>Kết nối tri thức</t>
        </is>
      </c>
      <c r="D158" s="3" t="inlineStr">
        <is>
          <t>Bài 21</t>
        </is>
      </c>
      <c r="E158" s="3" t="inlineStr">
        <is>
          <t>Chủ đề 6. Các số đến 100</t>
        </is>
      </c>
      <c r="F158" s="3" t="inlineStr">
        <is>
          <t>Bài 21. Số có hai chữ số</t>
        </is>
      </c>
      <c r="G158" s="3" t="inlineStr">
        <is>
          <t>Chọn nhiều đáp án</t>
        </is>
      </c>
      <c r="H158" s="14" t="n">
        <v>2</v>
      </c>
      <c r="I158" s="3" t="inlineStr">
        <is>
          <t>Cơ bản</t>
        </is>
      </c>
      <c r="J158" s="3" t="inlineStr">
        <is>
          <t>Chọn tất cả các số tròn chục.</t>
        </is>
      </c>
      <c r="K158" s="3" t="inlineStr">
        <is>
          <t>A. 40 | B. 44 | C. 70 | D. 17 | E. 90</t>
        </is>
      </c>
      <c r="L158" s="3" t="inlineStr">
        <is>
          <t>A, C, E</t>
        </is>
      </c>
      <c r="M158" s="3" t="inlineStr">
        <is>
          <t>Số tròn chục có 0 đơn vị: 40, 70, 90.</t>
        </is>
      </c>
      <c r="N158" s="3" t="n"/>
      <c r="O158" s="14" t="n">
        <v>50</v>
      </c>
      <c r="P158" s="14">
        <f>INDEX(Khung_cap_do!$H$2:$H$6,H158)</f>
        <v/>
      </c>
      <c r="Q158" s="3" t="inlineStr">
        <is>
          <t>T1.SO.05</t>
        </is>
      </c>
      <c r="R158" s="3" t="inlineStr">
        <is>
          <t>TOAN.DOCVIET</t>
        </is>
      </c>
    </row>
    <row r="159">
      <c r="A159" s="3" t="inlineStr">
        <is>
          <t>toan1-kntt-b21-q6</t>
        </is>
      </c>
      <c r="B159" s="3" t="inlineStr">
        <is>
          <t>Toán</t>
        </is>
      </c>
      <c r="C159" s="3" t="inlineStr">
        <is>
          <t>Kết nối tri thức</t>
        </is>
      </c>
      <c r="D159" s="3" t="inlineStr">
        <is>
          <t>Bài 21</t>
        </is>
      </c>
      <c r="E159" s="3" t="inlineStr">
        <is>
          <t>Chủ đề 6. Các số đến 100</t>
        </is>
      </c>
      <c r="F159" s="3" t="inlineStr">
        <is>
          <t>Bài 21. Số có hai chữ số</t>
        </is>
      </c>
      <c r="G159" s="3" t="inlineStr">
        <is>
          <t>Điền đáp án</t>
        </is>
      </c>
      <c r="H159" s="14" t="n">
        <v>3</v>
      </c>
      <c r="I159" s="3" t="inlineStr">
        <is>
          <t>Vận dụng</t>
        </is>
      </c>
      <c r="J159" s="3" t="inlineStr">
        <is>
          <t>Số 86 gồm mấy chục? (chỉ viết số)</t>
        </is>
      </c>
      <c r="K159" s="3" t="inlineStr"/>
      <c r="L159" s="3" t="inlineStr">
        <is>
          <t>8</t>
        </is>
      </c>
      <c r="M159" s="3" t="inlineStr">
        <is>
          <t>86 gồm 8 chục và 6 đơn vị.</t>
        </is>
      </c>
      <c r="N159" s="3" t="inlineStr">
        <is>
          <t>Trong số 86, chữ số bên trái (8) chỉ số chục, chữ số bên phải (6) chỉ số đơn vị. Vậy 86 gồm 8 chục.</t>
        </is>
      </c>
      <c r="O159" s="14" t="n">
        <v>60</v>
      </c>
      <c r="P159" s="14">
        <f>INDEX(Khung_cap_do!$H$2:$H$6,H159)</f>
        <v/>
      </c>
      <c r="Q159" s="3" t="inlineStr">
        <is>
          <t>T1.SO.05</t>
        </is>
      </c>
      <c r="R159" s="3" t="inlineStr">
        <is>
          <t>TOAN.DOCVIET</t>
        </is>
      </c>
    </row>
    <row r="160">
      <c r="A160" s="3" t="inlineStr">
        <is>
          <t>toan1-kntt-b21-q7</t>
        </is>
      </c>
      <c r="B160" s="3" t="inlineStr">
        <is>
          <t>Toán</t>
        </is>
      </c>
      <c r="C160" s="3" t="inlineStr">
        <is>
          <t>Kết nối tri thức</t>
        </is>
      </c>
      <c r="D160" s="3" t="inlineStr">
        <is>
          <t>Bài 21</t>
        </is>
      </c>
      <c r="E160" s="3" t="inlineStr">
        <is>
          <t>Chủ đề 6. Các số đến 100</t>
        </is>
      </c>
      <c r="F160" s="3" t="inlineStr">
        <is>
          <t>Bài 21. Số có hai chữ số</t>
        </is>
      </c>
      <c r="G160" s="3" t="inlineStr">
        <is>
          <t>Sắp xếp</t>
        </is>
      </c>
      <c r="H160" s="14" t="n">
        <v>3</v>
      </c>
      <c r="I160" s="3" t="inlineStr">
        <is>
          <t>Vận dụng</t>
        </is>
      </c>
      <c r="J160" s="3" t="inlineStr">
        <is>
          <t>Xếp các số theo thứ tự đếm (từ bé đến lớn): 29, 27, 30, 28</t>
        </is>
      </c>
      <c r="K160" s="3" t="inlineStr">
        <is>
          <t>27 / 28 / 29 / 30</t>
        </is>
      </c>
      <c r="L160" s="3" t="inlineStr">
        <is>
          <t>27 → 28 → 29 → 30</t>
        </is>
      </c>
      <c r="M160" s="3" t="inlineStr">
        <is>
          <t>Đếm: 27, 28, 29, 30.</t>
        </is>
      </c>
      <c r="N160" s="3" t="inlineStr">
        <is>
          <t>Đếm thêm 1 từ số bé nhất: 27, 28, 29, rồi đến 30 (đủ 3 chục).</t>
        </is>
      </c>
      <c r="O160" s="14" t="n">
        <v>65</v>
      </c>
      <c r="P160" s="14">
        <f>INDEX(Khung_cap_do!$H$2:$H$6,H160)</f>
        <v/>
      </c>
      <c r="Q160" s="3" t="inlineStr">
        <is>
          <t>T1.SO.04</t>
        </is>
      </c>
      <c r="R160" s="3" t="inlineStr">
        <is>
          <t>TOAN.SAPXEP</t>
        </is>
      </c>
    </row>
    <row r="161">
      <c r="A161" s="3" t="inlineStr">
        <is>
          <t>toan1-kntt-b21-q8</t>
        </is>
      </c>
      <c r="B161" s="3" t="inlineStr">
        <is>
          <t>Toán</t>
        </is>
      </c>
      <c r="C161" s="3" t="inlineStr">
        <is>
          <t>Kết nối tri thức</t>
        </is>
      </c>
      <c r="D161" s="3" t="inlineStr">
        <is>
          <t>Bài 21</t>
        </is>
      </c>
      <c r="E161" s="3" t="inlineStr">
        <is>
          <t>Chủ đề 6. Các số đến 100</t>
        </is>
      </c>
      <c r="F161" s="3" t="inlineStr">
        <is>
          <t>Bài 21. Số có hai chữ số</t>
        </is>
      </c>
      <c r="G161" s="3" t="inlineStr">
        <is>
          <t>Ghép cặp</t>
        </is>
      </c>
      <c r="H161" s="14" t="n">
        <v>4</v>
      </c>
      <c r="I161" s="3" t="inlineStr">
        <is>
          <t>Thử thách</t>
        </is>
      </c>
      <c r="J161" s="3" t="inlineStr">
        <is>
          <t>Ghép số với cách đọc.</t>
        </is>
      </c>
      <c r="K161" s="3" t="inlineStr">
        <is>
          <t>15 ↔ ? / 51 ↔ ? / 55 ↔ ?</t>
        </is>
      </c>
      <c r="L161" s="3" t="inlineStr">
        <is>
          <t>15 – Mười lăm; 51 – Năm mươi mốt; 55 – Năm mươi lăm</t>
        </is>
      </c>
      <c r="M161" s="3" t="inlineStr">
        <is>
          <t>15: mười lăm; 51: năm mươi mốt; 55: năm mươi lăm.</t>
        </is>
      </c>
      <c r="N161" s="3" t="inlineStr">
        <is>
          <t>Đọc số chục trước rồi số đơn vị. Chữ số 1 ở hàng đơn vị (từ 21) đọc là "mốt", chữ số 5 ở hàng đơn vị đọc là "lăm".</t>
        </is>
      </c>
      <c r="O161" s="14" t="n">
        <v>75</v>
      </c>
      <c r="P161" s="14">
        <f>INDEX(Khung_cap_do!$H$2:$H$6,H161)</f>
        <v/>
      </c>
      <c r="Q161" s="3" t="inlineStr">
        <is>
          <t>T1.SO.04</t>
        </is>
      </c>
      <c r="R161" s="3" t="inlineStr">
        <is>
          <t>TOAN.DOCVIET</t>
        </is>
      </c>
    </row>
    <row r="162">
      <c r="A162" s="3" t="inlineStr">
        <is>
          <t>toan1-kntt-b21-q9</t>
        </is>
      </c>
      <c r="B162" s="3" t="inlineStr">
        <is>
          <t>Toán</t>
        </is>
      </c>
      <c r="C162" s="3" t="inlineStr">
        <is>
          <t>Kết nối tri thức</t>
        </is>
      </c>
      <c r="D162" s="3" t="inlineStr">
        <is>
          <t>Bài 21</t>
        </is>
      </c>
      <c r="E162" s="3" t="inlineStr">
        <is>
          <t>Chủ đề 6. Các số đến 100</t>
        </is>
      </c>
      <c r="F162" s="3" t="inlineStr">
        <is>
          <t>Bài 21. Số có hai chữ số</t>
        </is>
      </c>
      <c r="G162" s="3" t="inlineStr">
        <is>
          <t>Đúng / Sai</t>
        </is>
      </c>
      <c r="H162" s="14" t="n">
        <v>3</v>
      </c>
      <c r="I162" s="3" t="inlineStr">
        <is>
          <t>Vận dụng</t>
        </is>
      </c>
      <c r="J162" s="3" t="inlineStr">
        <is>
          <t>Số 90 gồm 9 chục và 0 đơn vị. Đúng hay sai?</t>
        </is>
      </c>
      <c r="K162" s="3" t="inlineStr">
        <is>
          <t>A. Đúng | B. Sai</t>
        </is>
      </c>
      <c r="L162" s="3" t="inlineStr">
        <is>
          <t>A</t>
        </is>
      </c>
      <c r="M162" s="3" t="inlineStr">
        <is>
          <t>90 là số tròn chục: 9 chục, 0 đơn vị.</t>
        </is>
      </c>
      <c r="N162" s="3" t="inlineStr">
        <is>
          <t>Số tròn chục có chữ số hàng đơn vị là 0. 90 có 9 chục và 0 đơn vị nên câu này đúng.</t>
        </is>
      </c>
      <c r="O162" s="14" t="n">
        <v>50</v>
      </c>
      <c r="P162" s="14">
        <f>INDEX(Khung_cap_do!$H$2:$H$6,H162)</f>
        <v/>
      </c>
      <c r="Q162" s="3" t="inlineStr">
        <is>
          <t>T1.SO.05</t>
        </is>
      </c>
      <c r="R162" s="3" t="inlineStr">
        <is>
          <t>TOAN.DUNGSAI</t>
        </is>
      </c>
    </row>
    <row r="163">
      <c r="A163" s="3" t="inlineStr">
        <is>
          <t>toan1-kntt-b21-q10</t>
        </is>
      </c>
      <c r="B163" s="3" t="inlineStr">
        <is>
          <t>Toán</t>
        </is>
      </c>
      <c r="C163" s="3" t="inlineStr">
        <is>
          <t>Kết nối tri thức</t>
        </is>
      </c>
      <c r="D163" s="3" t="inlineStr">
        <is>
          <t>Bài 21</t>
        </is>
      </c>
      <c r="E163" s="3" t="inlineStr">
        <is>
          <t>Chủ đề 6. Các số đến 100</t>
        </is>
      </c>
      <c r="F163" s="3" t="inlineStr">
        <is>
          <t>Bài 21. Số có hai chữ số</t>
        </is>
      </c>
      <c r="G163" s="3" t="inlineStr">
        <is>
          <t>Chọn nhiều đáp án</t>
        </is>
      </c>
      <c r="H163" s="14" t="n">
        <v>5</v>
      </c>
      <c r="I163" s="3" t="inlineStr">
        <is>
          <t>Mở rộng</t>
        </is>
      </c>
      <c r="J163" s="3" t="inlineStr">
        <is>
          <t>Có ba tấm thẻ 4, 0, 6. Ghép hai thẻ (mỗi thẻ dùng một lần) được những số có hai chữ số nào?</t>
        </is>
      </c>
      <c r="K163" s="3" t="inlineStr">
        <is>
          <t>A. 40 | B. 46 | C. 64 | D. 60 | E. 44 | F. 06</t>
        </is>
      </c>
      <c r="L163" s="3" t="inlineStr">
        <is>
          <t>A, B, C, D</t>
        </is>
      </c>
      <c r="M163" s="3" t="inlineStr">
        <is>
          <t>Ghép được 40, 46, 60, 64.</t>
        </is>
      </c>
      <c r="N163" s="3" t="inlineStr">
        <is>
          <t>Chữ số hàng chục chỉ có thể là 4 hoặc 6 (thẻ 0 không đứng đầu). Với 4 đứng đầu: 40, 46. Với 6 đứng đầu: 60, 64. Số 44 phải dùng thẻ 4 hai lần nên không được.</t>
        </is>
      </c>
      <c r="O163" s="14" t="n">
        <v>95</v>
      </c>
      <c r="P163" s="14">
        <f>INDEX(Khung_cap_do!$H$2:$H$6,H163)</f>
        <v/>
      </c>
      <c r="Q163" s="3" t="inlineStr">
        <is>
          <t>T1.SO.04</t>
        </is>
      </c>
      <c r="R163" s="3" t="inlineStr">
        <is>
          <t>TOAN.DOCVIET</t>
        </is>
      </c>
    </row>
    <row r="164">
      <c r="A164" s="3" t="inlineStr">
        <is>
          <t>toan1-kntt-b22-q1</t>
        </is>
      </c>
      <c r="B164" s="3" t="inlineStr">
        <is>
          <t>Toán</t>
        </is>
      </c>
      <c r="C164" s="3" t="inlineStr">
        <is>
          <t>Kết nối tri thức</t>
        </is>
      </c>
      <c r="D164" s="3" t="inlineStr">
        <is>
          <t>Bài 22</t>
        </is>
      </c>
      <c r="E164" s="3" t="inlineStr">
        <is>
          <t>Chủ đề 6. Các số đến 100</t>
        </is>
      </c>
      <c r="F164" s="3" t="inlineStr">
        <is>
          <t>Bài 22. So sánh số có hai chữ số</t>
        </is>
      </c>
      <c r="G164" s="3" t="inlineStr">
        <is>
          <t>Chọn đáp án</t>
        </is>
      </c>
      <c r="H164" s="14" t="n">
        <v>1</v>
      </c>
      <c r="I164" s="3" t="inlineStr">
        <is>
          <t>Làm quen</t>
        </is>
      </c>
      <c r="J164" s="3" t="inlineStr">
        <is>
          <t>Chọn dấu thích hợp: 38 ... 83</t>
        </is>
      </c>
      <c r="K164" s="3" t="inlineStr">
        <is>
          <t>A. &gt; | B. &lt; | C. =</t>
        </is>
      </c>
      <c r="L164" s="3" t="inlineStr">
        <is>
          <t>B</t>
        </is>
      </c>
      <c r="M164" s="3" t="inlineStr">
        <is>
          <t>38 có 3 chục, 83 có 8 chục: 38 &lt; 83.</t>
        </is>
      </c>
      <c r="N164" s="3" t="n"/>
      <c r="O164" s="14" t="n">
        <v>30</v>
      </c>
      <c r="P164" s="14">
        <f>INDEX(Khung_cap_do!$H$2:$H$6,H164)</f>
        <v/>
      </c>
      <c r="Q164" s="3" t="inlineStr">
        <is>
          <t>T1.SO.06</t>
        </is>
      </c>
      <c r="R164" s="3" t="inlineStr">
        <is>
          <t>TOAN.SOSANH</t>
        </is>
      </c>
    </row>
    <row r="165">
      <c r="A165" s="3" t="inlineStr">
        <is>
          <t>toan1-kntt-b22-q2</t>
        </is>
      </c>
      <c r="B165" s="3" t="inlineStr">
        <is>
          <t>Toán</t>
        </is>
      </c>
      <c r="C165" s="3" t="inlineStr">
        <is>
          <t>Kết nối tri thức</t>
        </is>
      </c>
      <c r="D165" s="3" t="inlineStr">
        <is>
          <t>Bài 22</t>
        </is>
      </c>
      <c r="E165" s="3" t="inlineStr">
        <is>
          <t>Chủ đề 6. Các số đến 100</t>
        </is>
      </c>
      <c r="F165" s="3" t="inlineStr">
        <is>
          <t>Bài 22. So sánh số có hai chữ số</t>
        </is>
      </c>
      <c r="G165" s="3" t="inlineStr">
        <is>
          <t>Chọn đáp án</t>
        </is>
      </c>
      <c r="H165" s="14" t="n">
        <v>1</v>
      </c>
      <c r="I165" s="3" t="inlineStr">
        <is>
          <t>Làm quen</t>
        </is>
      </c>
      <c r="J165" s="3" t="inlineStr">
        <is>
          <t>Chọn dấu thích hợp: 67 ... 64</t>
        </is>
      </c>
      <c r="K165" s="3" t="inlineStr">
        <is>
          <t>A. &gt; | B. &lt; | C. =</t>
        </is>
      </c>
      <c r="L165" s="3" t="inlineStr">
        <is>
          <t>A</t>
        </is>
      </c>
      <c r="M165" s="3" t="inlineStr">
        <is>
          <t>Cùng 6 chục; 7 đơn vị &gt; 4 đơn vị: 67 &gt; 64.</t>
        </is>
      </c>
      <c r="N165" s="3" t="n"/>
      <c r="O165" s="14" t="n">
        <v>30</v>
      </c>
      <c r="P165" s="14">
        <f>INDEX(Khung_cap_do!$H$2:$H$6,H165)</f>
        <v/>
      </c>
      <c r="Q165" s="3" t="inlineStr">
        <is>
          <t>T1.SO.06</t>
        </is>
      </c>
      <c r="R165" s="3" t="inlineStr">
        <is>
          <t>TOAN.SOSANH</t>
        </is>
      </c>
    </row>
    <row r="166">
      <c r="A166" s="3" t="inlineStr">
        <is>
          <t>toan1-kntt-b22-q3</t>
        </is>
      </c>
      <c r="B166" s="3" t="inlineStr">
        <is>
          <t>Toán</t>
        </is>
      </c>
      <c r="C166" s="3" t="inlineStr">
        <is>
          <t>Kết nối tri thức</t>
        </is>
      </c>
      <c r="D166" s="3" t="inlineStr">
        <is>
          <t>Bài 22</t>
        </is>
      </c>
      <c r="E166" s="3" t="inlineStr">
        <is>
          <t>Chủ đề 6. Các số đến 100</t>
        </is>
      </c>
      <c r="F166" s="3" t="inlineStr">
        <is>
          <t>Bài 22. So sánh số có hai chữ số</t>
        </is>
      </c>
      <c r="G166" s="3" t="inlineStr">
        <is>
          <t>Chọn đáp án</t>
        </is>
      </c>
      <c r="H166" s="14" t="n">
        <v>2</v>
      </c>
      <c r="I166" s="3" t="inlineStr">
        <is>
          <t>Cơ bản</t>
        </is>
      </c>
      <c r="J166" s="3" t="inlineStr">
        <is>
          <t>Số nào lớn nhất: 45, 54, 49, 51?</t>
        </is>
      </c>
      <c r="K166" s="3" t="inlineStr">
        <is>
          <t>A. 45 | B. 54 | C. 49 | D. 51</t>
        </is>
      </c>
      <c r="L166" s="3" t="inlineStr">
        <is>
          <t>B</t>
        </is>
      </c>
      <c r="M166" s="3" t="inlineStr">
        <is>
          <t>54 và 51 có 5 chục; 54 &gt; 51. Số lớn nhất là 54.</t>
        </is>
      </c>
      <c r="N166" s="3" t="n"/>
      <c r="O166" s="14" t="n">
        <v>40</v>
      </c>
      <c r="P166" s="14">
        <f>INDEX(Khung_cap_do!$H$2:$H$6,H166)</f>
        <v/>
      </c>
      <c r="Q166" s="3" t="inlineStr">
        <is>
          <t>T1.SO.06</t>
        </is>
      </c>
      <c r="R166" s="3" t="inlineStr">
        <is>
          <t>TOAN.SOSANH</t>
        </is>
      </c>
    </row>
    <row r="167">
      <c r="A167" s="3" t="inlineStr">
        <is>
          <t>toan1-kntt-b22-q4</t>
        </is>
      </c>
      <c r="B167" s="3" t="inlineStr">
        <is>
          <t>Toán</t>
        </is>
      </c>
      <c r="C167" s="3" t="inlineStr">
        <is>
          <t>Kết nối tri thức</t>
        </is>
      </c>
      <c r="D167" s="3" t="inlineStr">
        <is>
          <t>Bài 22</t>
        </is>
      </c>
      <c r="E167" s="3" t="inlineStr">
        <is>
          <t>Chủ đề 6. Các số đến 100</t>
        </is>
      </c>
      <c r="F167" s="3" t="inlineStr">
        <is>
          <t>Bài 22. So sánh số có hai chữ số</t>
        </is>
      </c>
      <c r="G167" s="3" t="inlineStr">
        <is>
          <t>Chọn đáp án</t>
        </is>
      </c>
      <c r="H167" s="14" t="n">
        <v>2</v>
      </c>
      <c r="I167" s="3" t="inlineStr">
        <is>
          <t>Cơ bản</t>
        </is>
      </c>
      <c r="J167" s="3" t="inlineStr">
        <is>
          <t>Số nào bé nhất: 70, 17, 71, 27?</t>
        </is>
      </c>
      <c r="K167" s="3" t="inlineStr">
        <is>
          <t>A. 70 | B. 17 | C. 71 | D. 27</t>
        </is>
      </c>
      <c r="L167" s="3" t="inlineStr">
        <is>
          <t>B</t>
        </is>
      </c>
      <c r="M167" s="3" t="inlineStr">
        <is>
          <t>17 có ít chục nhất (1 chục).</t>
        </is>
      </c>
      <c r="N167" s="3" t="n"/>
      <c r="O167" s="14" t="n">
        <v>40</v>
      </c>
      <c r="P167" s="14">
        <f>INDEX(Khung_cap_do!$H$2:$H$6,H167)</f>
        <v/>
      </c>
      <c r="Q167" s="3" t="inlineStr">
        <is>
          <t>T1.SO.06</t>
        </is>
      </c>
      <c r="R167" s="3" t="inlineStr">
        <is>
          <t>TOAN.SOSANH</t>
        </is>
      </c>
    </row>
    <row r="168">
      <c r="A168" s="3" t="inlineStr">
        <is>
          <t>toan1-kntt-b22-q5</t>
        </is>
      </c>
      <c r="B168" s="3" t="inlineStr">
        <is>
          <t>Toán</t>
        </is>
      </c>
      <c r="C168" s="3" t="inlineStr">
        <is>
          <t>Kết nối tri thức</t>
        </is>
      </c>
      <c r="D168" s="3" t="inlineStr">
        <is>
          <t>Bài 22</t>
        </is>
      </c>
      <c r="E168" s="3" t="inlineStr">
        <is>
          <t>Chủ đề 6. Các số đến 100</t>
        </is>
      </c>
      <c r="F168" s="3" t="inlineStr">
        <is>
          <t>Bài 22. So sánh số có hai chữ số</t>
        </is>
      </c>
      <c r="G168" s="3" t="inlineStr">
        <is>
          <t>Sắp xếp</t>
        </is>
      </c>
      <c r="H168" s="14" t="n">
        <v>3</v>
      </c>
      <c r="I168" s="3" t="inlineStr">
        <is>
          <t>Vận dụng</t>
        </is>
      </c>
      <c r="J168" s="3" t="inlineStr">
        <is>
          <t>Xếp các số theo thứ tự từ bé đến lớn: 62, 26, 60, 29</t>
        </is>
      </c>
      <c r="K168" s="3" t="inlineStr">
        <is>
          <t>26 / 29 / 60 / 62</t>
        </is>
      </c>
      <c r="L168" s="3" t="inlineStr">
        <is>
          <t>26 → 29 → 60 → 62</t>
        </is>
      </c>
      <c r="M168" s="3" t="inlineStr">
        <is>
          <t>26 &lt; 29 &lt; 60 &lt; 62.</t>
        </is>
      </c>
      <c r="N168" s="3" t="inlineStr">
        <is>
          <t>So sánh số chục: 26, 29 có 2 chục; 60, 62 có 6 chục. Trong nhóm 2 chục: 26 &lt; 29. Trong nhóm 6 chục: 60 &lt; 62. Thứ tự: 26, 29, 60, 62.</t>
        </is>
      </c>
      <c r="O168" s="14" t="n">
        <v>65</v>
      </c>
      <c r="P168" s="14">
        <f>INDEX(Khung_cap_do!$H$2:$H$6,H168)</f>
        <v/>
      </c>
      <c r="Q168" s="3" t="inlineStr">
        <is>
          <t>T1.SO.06</t>
        </is>
      </c>
      <c r="R168" s="3" t="inlineStr">
        <is>
          <t>TOAN.SAPXEP</t>
        </is>
      </c>
    </row>
    <row r="169">
      <c r="A169" s="3" t="inlineStr">
        <is>
          <t>toan1-kntt-b22-q6</t>
        </is>
      </c>
      <c r="B169" s="3" t="inlineStr">
        <is>
          <t>Toán</t>
        </is>
      </c>
      <c r="C169" s="3" t="inlineStr">
        <is>
          <t>Kết nối tri thức</t>
        </is>
      </c>
      <c r="D169" s="3" t="inlineStr">
        <is>
          <t>Bài 22</t>
        </is>
      </c>
      <c r="E169" s="3" t="inlineStr">
        <is>
          <t>Chủ đề 6. Các số đến 100</t>
        </is>
      </c>
      <c r="F169" s="3" t="inlineStr">
        <is>
          <t>Bài 22. So sánh số có hai chữ số</t>
        </is>
      </c>
      <c r="G169" s="3" t="inlineStr">
        <is>
          <t>Đúng / Sai</t>
        </is>
      </c>
      <c r="H169" s="14" t="n">
        <v>2</v>
      </c>
      <c r="I169" s="3" t="inlineStr">
        <is>
          <t>Cơ bản</t>
        </is>
      </c>
      <c r="J169" s="3" t="inlineStr">
        <is>
          <t>95 &gt; 59. Đúng hay sai?</t>
        </is>
      </c>
      <c r="K169" s="3" t="inlineStr">
        <is>
          <t>A. Đúng | B. Sai</t>
        </is>
      </c>
      <c r="L169" s="3" t="inlineStr">
        <is>
          <t>A</t>
        </is>
      </c>
      <c r="M169" s="3" t="inlineStr">
        <is>
          <t>95 có 9 chục, 59 có 5 chục.</t>
        </is>
      </c>
      <c r="N169" s="3" t="n"/>
      <c r="O169" s="14" t="n">
        <v>40</v>
      </c>
      <c r="P169" s="14">
        <f>INDEX(Khung_cap_do!$H$2:$H$6,H169)</f>
        <v/>
      </c>
      <c r="Q169" s="3" t="inlineStr">
        <is>
          <t>T1.SO.06</t>
        </is>
      </c>
      <c r="R169" s="3" t="inlineStr">
        <is>
          <t>TOAN.DUNGSAI</t>
        </is>
      </c>
    </row>
    <row r="170">
      <c r="A170" s="3" t="inlineStr">
        <is>
          <t>toan1-kntt-b22-q7</t>
        </is>
      </c>
      <c r="B170" s="3" t="inlineStr">
        <is>
          <t>Toán</t>
        </is>
      </c>
      <c r="C170" s="3" t="inlineStr">
        <is>
          <t>Kết nối tri thức</t>
        </is>
      </c>
      <c r="D170" s="3" t="inlineStr">
        <is>
          <t>Bài 22</t>
        </is>
      </c>
      <c r="E170" s="3" t="inlineStr">
        <is>
          <t>Chủ đề 6. Các số đến 100</t>
        </is>
      </c>
      <c r="F170" s="3" t="inlineStr">
        <is>
          <t>Bài 22. So sánh số có hai chữ số</t>
        </is>
      </c>
      <c r="G170" s="3" t="inlineStr">
        <is>
          <t>Chọn đáp án</t>
        </is>
      </c>
      <c r="H170" s="14" t="n">
        <v>4</v>
      </c>
      <c r="I170" s="3" t="inlineStr">
        <is>
          <t>Thử thách</t>
        </is>
      </c>
      <c r="J170" s="3" t="inlineStr">
        <is>
          <t>Lớp 1A có 33 học sinh, lớp 1B có 30 học sinh, lớp 1C có 35 học sinh. Lớp nào có ít học sinh nhất?</t>
        </is>
      </c>
      <c r="K170" s="3" t="inlineStr">
        <is>
          <t>A. Lớp 1A | B. Lớp 1B | C. Lớp 1C</t>
        </is>
      </c>
      <c r="L170" s="3" t="inlineStr">
        <is>
          <t>B</t>
        </is>
      </c>
      <c r="M170" s="3" t="inlineStr">
        <is>
          <t>30 &lt; 33 &lt; 35: lớp 1B ít nhất.</t>
        </is>
      </c>
      <c r="N170" s="3" t="inlineStr">
        <is>
          <t>Ba số cùng 3 chục, so sánh đơn vị: 0 &lt; 3 &lt; 5. Số bé nhất là 30, của lớp 1B.</t>
        </is>
      </c>
      <c r="O170" s="14" t="n">
        <v>70</v>
      </c>
      <c r="P170" s="14">
        <f>INDEX(Khung_cap_do!$H$2:$H$6,H170)</f>
        <v/>
      </c>
      <c r="Q170" s="3" t="inlineStr">
        <is>
          <t>T1.SO.06</t>
        </is>
      </c>
      <c r="R170" s="3" t="inlineStr">
        <is>
          <t>TOAN.SOSANH</t>
        </is>
      </c>
    </row>
    <row r="171">
      <c r="A171" s="3" t="inlineStr">
        <is>
          <t>toan1-kntt-b22-q8</t>
        </is>
      </c>
      <c r="B171" s="3" t="inlineStr">
        <is>
          <t>Toán</t>
        </is>
      </c>
      <c r="C171" s="3" t="inlineStr">
        <is>
          <t>Kết nối tri thức</t>
        </is>
      </c>
      <c r="D171" s="3" t="inlineStr">
        <is>
          <t>Bài 22</t>
        </is>
      </c>
      <c r="E171" s="3" t="inlineStr">
        <is>
          <t>Chủ đề 6. Các số đến 100</t>
        </is>
      </c>
      <c r="F171" s="3" t="inlineStr">
        <is>
          <t>Bài 22. So sánh số có hai chữ số</t>
        </is>
      </c>
      <c r="G171" s="3" t="inlineStr">
        <is>
          <t>Chọn nhiều đáp án</t>
        </is>
      </c>
      <c r="H171" s="14" t="n">
        <v>5</v>
      </c>
      <c r="I171" s="3" t="inlineStr">
        <is>
          <t>Mở rộng</t>
        </is>
      </c>
      <c r="J171" s="3" t="inlineStr">
        <is>
          <t>Chọn tất cả các số lớn hơn 46 và bé hơn 52.</t>
        </is>
      </c>
      <c r="K171" s="3" t="inlineStr">
        <is>
          <t>A. 45 | B. 47 | C. 50 | D. 52 | E. 53</t>
        </is>
      </c>
      <c r="L171" s="3" t="inlineStr">
        <is>
          <t>B, C</t>
        </is>
      </c>
      <c r="M171" s="3" t="inlineStr">
        <is>
          <t>Các số từ 47 đến 51 thỏa mãn; trong các lựa chọn có 47 và 50.</t>
        </is>
      </c>
      <c r="N171" s="3" t="inlineStr">
        <is>
          <t>Số cần chọn phải lớn hơn 46 (bỏ 45) và bé hơn 52 (bỏ 52, 53). Còn lại 47 và 50.</t>
        </is>
      </c>
      <c r="O171" s="14" t="n">
        <v>85</v>
      </c>
      <c r="P171" s="14">
        <f>INDEX(Khung_cap_do!$H$2:$H$6,H171)</f>
        <v/>
      </c>
      <c r="Q171" s="3" t="inlineStr">
        <is>
          <t>T1.SO.06</t>
        </is>
      </c>
      <c r="R171" s="3" t="inlineStr">
        <is>
          <t>TOAN.SOSANH</t>
        </is>
      </c>
    </row>
    <row r="172">
      <c r="A172" s="3" t="inlineStr">
        <is>
          <t>toan1-kntt-b23-q1</t>
        </is>
      </c>
      <c r="B172" s="3" t="inlineStr">
        <is>
          <t>Toán</t>
        </is>
      </c>
      <c r="C172" s="3" t="inlineStr">
        <is>
          <t>Kết nối tri thức</t>
        </is>
      </c>
      <c r="D172" s="3" t="inlineStr">
        <is>
          <t>Bài 23</t>
        </is>
      </c>
      <c r="E172" s="3" t="inlineStr">
        <is>
          <t>Chủ đề 6. Các số đến 100</t>
        </is>
      </c>
      <c r="F172" s="3" t="inlineStr">
        <is>
          <t>Bài 23. Bảng các số từ 1 đến 100</t>
        </is>
      </c>
      <c r="G172" s="3" t="inlineStr">
        <is>
          <t>Chọn đáp án</t>
        </is>
      </c>
      <c r="H172" s="14" t="n">
        <v>1</v>
      </c>
      <c r="I172" s="3" t="inlineStr">
        <is>
          <t>Làm quen</t>
        </is>
      </c>
      <c r="J172" s="3" t="inlineStr">
        <is>
          <t>99 thêm 1 là số nào?</t>
        </is>
      </c>
      <c r="K172" s="3" t="inlineStr">
        <is>
          <t>A. 98 | B. 100 | C. 90</t>
        </is>
      </c>
      <c r="L172" s="3" t="inlineStr">
        <is>
          <t>B</t>
        </is>
      </c>
      <c r="M172" s="3" t="inlineStr">
        <is>
          <t>99 thêm 1 là 100 (một trăm).</t>
        </is>
      </c>
      <c r="N172" s="3" t="n"/>
      <c r="O172" s="14" t="n">
        <v>30</v>
      </c>
      <c r="P172" s="14">
        <f>INDEX(Khung_cap_do!$H$2:$H$6,H172)</f>
        <v/>
      </c>
      <c r="Q172" s="3" t="inlineStr">
        <is>
          <t>T1.SO.04</t>
        </is>
      </c>
      <c r="R172" s="3" t="inlineStr">
        <is>
          <t>TOAN.DOCVIET</t>
        </is>
      </c>
    </row>
    <row r="173">
      <c r="A173" s="3" t="inlineStr">
        <is>
          <t>toan1-kntt-b23-q2</t>
        </is>
      </c>
      <c r="B173" s="3" t="inlineStr">
        <is>
          <t>Toán</t>
        </is>
      </c>
      <c r="C173" s="3" t="inlineStr">
        <is>
          <t>Kết nối tri thức</t>
        </is>
      </c>
      <c r="D173" s="3" t="inlineStr">
        <is>
          <t>Bài 23</t>
        </is>
      </c>
      <c r="E173" s="3" t="inlineStr">
        <is>
          <t>Chủ đề 6. Các số đến 100</t>
        </is>
      </c>
      <c r="F173" s="3" t="inlineStr">
        <is>
          <t>Bài 23. Bảng các số từ 1 đến 100</t>
        </is>
      </c>
      <c r="G173" s="3" t="inlineStr">
        <is>
          <t>Chọn đáp án</t>
        </is>
      </c>
      <c r="H173" s="14" t="n">
        <v>2</v>
      </c>
      <c r="I173" s="3" t="inlineStr">
        <is>
          <t>Cơ bản</t>
        </is>
      </c>
      <c r="J173" s="3" t="inlineStr">
        <is>
          <t>Số 100 gồm mấy chục?</t>
        </is>
      </c>
      <c r="K173" s="3" t="inlineStr">
        <is>
          <t>A. 1 chục | B. 10 chục | C. 100 chục</t>
        </is>
      </c>
      <c r="L173" s="3" t="inlineStr">
        <is>
          <t>B</t>
        </is>
      </c>
      <c r="M173" s="3" t="inlineStr">
        <is>
          <t>100 gồm 10 chục.</t>
        </is>
      </c>
      <c r="N173" s="3" t="n"/>
      <c r="O173" s="14" t="n">
        <v>40</v>
      </c>
      <c r="P173" s="14">
        <f>INDEX(Khung_cap_do!$H$2:$H$6,H173)</f>
        <v/>
      </c>
      <c r="Q173" s="3" t="inlineStr">
        <is>
          <t>T1.SO.05</t>
        </is>
      </c>
      <c r="R173" s="3" t="inlineStr">
        <is>
          <t>TOAN.DOCVIET</t>
        </is>
      </c>
    </row>
    <row r="174">
      <c r="A174" s="3" t="inlineStr">
        <is>
          <t>toan1-kntt-b23-q3</t>
        </is>
      </c>
      <c r="B174" s="3" t="inlineStr">
        <is>
          <t>Toán</t>
        </is>
      </c>
      <c r="C174" s="3" t="inlineStr">
        <is>
          <t>Kết nối tri thức</t>
        </is>
      </c>
      <c r="D174" s="3" t="inlineStr">
        <is>
          <t>Bài 23</t>
        </is>
      </c>
      <c r="E174" s="3" t="inlineStr">
        <is>
          <t>Chủ đề 6. Các số đến 100</t>
        </is>
      </c>
      <c r="F174" s="3" t="inlineStr">
        <is>
          <t>Bài 23. Bảng các số từ 1 đến 100</t>
        </is>
      </c>
      <c r="G174" s="3" t="inlineStr">
        <is>
          <t>Điền đáp án</t>
        </is>
      </c>
      <c r="H174" s="14" t="n">
        <v>1</v>
      </c>
      <c r="I174" s="3" t="inlineStr">
        <is>
          <t>Làm quen</t>
        </is>
      </c>
      <c r="J174" s="3" t="inlineStr">
        <is>
          <t>Đếm tiếp: 96, 97, 98, ..., 100. Số còn thiếu là số nào?</t>
        </is>
      </c>
      <c r="K174" s="3" t="inlineStr"/>
      <c r="L174" s="3" t="inlineStr">
        <is>
          <t>99</t>
        </is>
      </c>
      <c r="M174" s="3" t="inlineStr">
        <is>
          <t>Sau 98 là 99, sau 99 là 100.</t>
        </is>
      </c>
      <c r="N174" s="3" t="n"/>
      <c r="O174" s="14" t="n">
        <v>40</v>
      </c>
      <c r="P174" s="14">
        <f>INDEX(Khung_cap_do!$H$2:$H$6,H174)</f>
        <v/>
      </c>
      <c r="Q174" s="3" t="inlineStr">
        <is>
          <t>T1.SO.04</t>
        </is>
      </c>
      <c r="R174" s="3" t="inlineStr">
        <is>
          <t>TOAN.SOTHIEU</t>
        </is>
      </c>
    </row>
    <row r="175">
      <c r="A175" s="3" t="inlineStr">
        <is>
          <t>toan1-kntt-b23-q4</t>
        </is>
      </c>
      <c r="B175" s="3" t="inlineStr">
        <is>
          <t>Toán</t>
        </is>
      </c>
      <c r="C175" s="3" t="inlineStr">
        <is>
          <t>Kết nối tri thức</t>
        </is>
      </c>
      <c r="D175" s="3" t="inlineStr">
        <is>
          <t>Bài 23</t>
        </is>
      </c>
      <c r="E175" s="3" t="inlineStr">
        <is>
          <t>Chủ đề 6. Các số đến 100</t>
        </is>
      </c>
      <c r="F175" s="3" t="inlineStr">
        <is>
          <t>Bài 23. Bảng các số từ 1 đến 100</t>
        </is>
      </c>
      <c r="G175" s="3" t="inlineStr">
        <is>
          <t>Chọn đáp án</t>
        </is>
      </c>
      <c r="H175" s="14" t="n">
        <v>3</v>
      </c>
      <c r="I175" s="3" t="inlineStr">
        <is>
          <t>Vận dụng</t>
        </is>
      </c>
      <c r="J175" s="3" t="inlineStr">
        <is>
          <t>Số lớn nhất có hai chữ số là số nào?</t>
        </is>
      </c>
      <c r="K175" s="3" t="inlineStr">
        <is>
          <t>A. 90 | B. 99 | C. 100</t>
        </is>
      </c>
      <c r="L175" s="3" t="inlineStr">
        <is>
          <t>B</t>
        </is>
      </c>
      <c r="M175" s="3" t="inlineStr">
        <is>
          <t>99 là số lớn nhất có hai chữ số; 100 có ba chữ số.</t>
        </is>
      </c>
      <c r="N175" s="3" t="inlineStr">
        <is>
          <t>Số có hai chữ số lớn nhất khi cả hai chữ số đều lớn nhất (9 và 9): 99. Số 100 có ba chữ số.</t>
        </is>
      </c>
      <c r="O175" s="14" t="n">
        <v>50</v>
      </c>
      <c r="P175" s="14">
        <f>INDEX(Khung_cap_do!$H$2:$H$6,H175)</f>
        <v/>
      </c>
      <c r="Q175" s="3" t="inlineStr">
        <is>
          <t>T1.SO.04</t>
        </is>
      </c>
      <c r="R175" s="3" t="inlineStr">
        <is>
          <t>TOAN.DOCVIET</t>
        </is>
      </c>
    </row>
    <row r="176">
      <c r="A176" s="3" t="inlineStr">
        <is>
          <t>toan1-kntt-b23-q5</t>
        </is>
      </c>
      <c r="B176" s="3" t="inlineStr">
        <is>
          <t>Toán</t>
        </is>
      </c>
      <c r="C176" s="3" t="inlineStr">
        <is>
          <t>Kết nối tri thức</t>
        </is>
      </c>
      <c r="D176" s="3" t="inlineStr">
        <is>
          <t>Bài 23</t>
        </is>
      </c>
      <c r="E176" s="3" t="inlineStr">
        <is>
          <t>Chủ đề 6. Các số đến 100</t>
        </is>
      </c>
      <c r="F176" s="3" t="inlineStr">
        <is>
          <t>Bài 23. Bảng các số từ 1 đến 100</t>
        </is>
      </c>
      <c r="G176" s="3" t="inlineStr">
        <is>
          <t>Chọn nhiều đáp án</t>
        </is>
      </c>
      <c r="H176" s="14" t="n">
        <v>3</v>
      </c>
      <c r="I176" s="3" t="inlineStr">
        <is>
          <t>Vận dụng</t>
        </is>
      </c>
      <c r="J176" s="3" t="inlineStr">
        <is>
          <t>Chọn tất cả các số có hai chữ số giống nhau.</t>
        </is>
      </c>
      <c r="K176" s="3" t="inlineStr">
        <is>
          <t>A. 11 | B. 12 | C. 44 | D. 40 | E. 77</t>
        </is>
      </c>
      <c r="L176" s="3" t="inlineStr">
        <is>
          <t>A, C, E</t>
        </is>
      </c>
      <c r="M176" s="3" t="inlineStr">
        <is>
          <t>11, 44, 77 có hai chữ số giống nhau.</t>
        </is>
      </c>
      <c r="N176" s="3" t="inlineStr">
        <is>
          <t>Xem chữ số hàng chục và hàng đơn vị của từng số: 11 (1 và 1), 44 (4 và 4), 77 (7 và 7) giống nhau; 12 và 40 thì khác nhau.</t>
        </is>
      </c>
      <c r="O176" s="14" t="n">
        <v>60</v>
      </c>
      <c r="P176" s="14">
        <f>INDEX(Khung_cap_do!$H$2:$H$6,H176)</f>
        <v/>
      </c>
      <c r="Q176" s="3" t="inlineStr">
        <is>
          <t>T1.SO.04</t>
        </is>
      </c>
      <c r="R176" s="3" t="inlineStr">
        <is>
          <t>TOAN.DOCVIET</t>
        </is>
      </c>
    </row>
    <row r="177">
      <c r="A177" s="3" t="inlineStr">
        <is>
          <t>toan1-kntt-b23-q6</t>
        </is>
      </c>
      <c r="B177" s="3" t="inlineStr">
        <is>
          <t>Toán</t>
        </is>
      </c>
      <c r="C177" s="3" t="inlineStr">
        <is>
          <t>Kết nối tri thức</t>
        </is>
      </c>
      <c r="D177" s="3" t="inlineStr">
        <is>
          <t>Bài 23</t>
        </is>
      </c>
      <c r="E177" s="3" t="inlineStr">
        <is>
          <t>Chủ đề 6. Các số đến 100</t>
        </is>
      </c>
      <c r="F177" s="3" t="inlineStr">
        <is>
          <t>Bài 23. Bảng các số từ 1 đến 100</t>
        </is>
      </c>
      <c r="G177" s="3" t="inlineStr">
        <is>
          <t>Điền đáp án</t>
        </is>
      </c>
      <c r="H177" s="14" t="n">
        <v>4</v>
      </c>
      <c r="I177" s="3" t="inlineStr">
        <is>
          <t>Thử thách</t>
        </is>
      </c>
      <c r="J177" s="3" t="inlineStr">
        <is>
          <t>Trong bảng các số từ 1 đến 100, số ngay bên dưới số 36 là số nào?</t>
        </is>
      </c>
      <c r="K177" s="3" t="inlineStr"/>
      <c r="L177" s="3" t="inlineStr">
        <is>
          <t>46</t>
        </is>
      </c>
      <c r="M177" s="3" t="inlineStr">
        <is>
          <t>Xuống một hàng là thêm 1 chục: 46.</t>
        </is>
      </c>
      <c r="N177" s="3" t="inlineStr">
        <is>
          <t>Mỗi hàng của bảng có 10 số, nên số ngay bên dưới có cùng chữ số đơn vị và nhiều hơn 1 chục. Dưới 36 là 46.</t>
        </is>
      </c>
      <c r="O177" s="14" t="n">
        <v>80</v>
      </c>
      <c r="P177" s="14">
        <f>INDEX(Khung_cap_do!$H$2:$H$6,H177)</f>
        <v/>
      </c>
      <c r="Q177" s="3" t="inlineStr">
        <is>
          <t>T1.SO.04</t>
        </is>
      </c>
      <c r="R177" s="3" t="inlineStr">
        <is>
          <t>TOAN.SOTHIEU</t>
        </is>
      </c>
    </row>
    <row r="178">
      <c r="A178" s="3" t="inlineStr">
        <is>
          <t>toan1-kntt-b23-q7</t>
        </is>
      </c>
      <c r="B178" s="3" t="inlineStr">
        <is>
          <t>Toán</t>
        </is>
      </c>
      <c r="C178" s="3" t="inlineStr">
        <is>
          <t>Kết nối tri thức</t>
        </is>
      </c>
      <c r="D178" s="3" t="inlineStr">
        <is>
          <t>Bài 23</t>
        </is>
      </c>
      <c r="E178" s="3" t="inlineStr">
        <is>
          <t>Chủ đề 6. Các số đến 100</t>
        </is>
      </c>
      <c r="F178" s="3" t="inlineStr">
        <is>
          <t>Bài 23. Bảng các số từ 1 đến 100</t>
        </is>
      </c>
      <c r="G178" s="3" t="inlineStr">
        <is>
          <t>Điền đáp án</t>
        </is>
      </c>
      <c r="H178" s="14" t="n">
        <v>4</v>
      </c>
      <c r="I178" s="3" t="inlineStr">
        <is>
          <t>Thử thách</t>
        </is>
      </c>
      <c r="J178" s="3" t="inlineStr">
        <is>
          <t>Đếm thêm 2: 2, 4, 6, 8, ... Số tiếp theo là số nào?</t>
        </is>
      </c>
      <c r="K178" s="3" t="inlineStr"/>
      <c r="L178" s="3" t="inlineStr">
        <is>
          <t>10</t>
        </is>
      </c>
      <c r="M178" s="3" t="inlineStr">
        <is>
          <t>8 thêm 2 là 10.</t>
        </is>
      </c>
      <c r="N178" s="3" t="inlineStr">
        <is>
          <t>Dãy số cách đều 2: mỗi số sau hơn số trước 2 đơn vị. Sau 8 là 10.</t>
        </is>
      </c>
      <c r="O178" s="14" t="n">
        <v>70</v>
      </c>
      <c r="P178" s="14">
        <f>INDEX(Khung_cap_do!$H$2:$H$6,H178)</f>
        <v/>
      </c>
      <c r="Q178" s="3" t="inlineStr">
        <is>
          <t>T1.SO.04</t>
        </is>
      </c>
      <c r="R178" s="3" t="inlineStr">
        <is>
          <t>TOAN.SOTHIEU</t>
        </is>
      </c>
    </row>
    <row r="179">
      <c r="A179" s="3" t="inlineStr">
        <is>
          <t>toan1-kntt-b23-q8</t>
        </is>
      </c>
      <c r="B179" s="3" t="inlineStr">
        <is>
          <t>Toán</t>
        </is>
      </c>
      <c r="C179" s="3" t="inlineStr">
        <is>
          <t>Kết nối tri thức</t>
        </is>
      </c>
      <c r="D179" s="3" t="inlineStr">
        <is>
          <t>Bài 23</t>
        </is>
      </c>
      <c r="E179" s="3" t="inlineStr">
        <is>
          <t>Chủ đề 6. Các số đến 100</t>
        </is>
      </c>
      <c r="F179" s="3" t="inlineStr">
        <is>
          <t>Bài 23. Bảng các số từ 1 đến 100</t>
        </is>
      </c>
      <c r="G179" s="3" t="inlineStr">
        <is>
          <t>Điền đáp án</t>
        </is>
      </c>
      <c r="H179" s="14" t="n">
        <v>5</v>
      </c>
      <c r="I179" s="3" t="inlineStr">
        <is>
          <t>Mở rộng</t>
        </is>
      </c>
      <c r="J179" s="3" t="inlineStr">
        <is>
          <t>Từ 1 đến 100, có bao nhiêu số tròn chục (kể cả 100)?</t>
        </is>
      </c>
      <c r="K179" s="3" t="inlineStr"/>
      <c r="L179" s="3" t="inlineStr">
        <is>
          <t>10</t>
        </is>
      </c>
      <c r="M179" s="3" t="inlineStr">
        <is>
          <t>10, 20, 30, 40, 50, 60, 70, 80, 90, 100: 10 số.</t>
        </is>
      </c>
      <c r="N179" s="3" t="inlineStr">
        <is>
          <t>Các số tròn chục nằm ở cột cuối của bảng các số từ 1 đến 100: 10, 20, …, 90, 100. Mỗi hàng có một số, bảng có 10 hàng: 10 số.</t>
        </is>
      </c>
      <c r="O179" s="14" t="n">
        <v>85</v>
      </c>
      <c r="P179" s="14">
        <f>INDEX(Khung_cap_do!$H$2:$H$6,H179)</f>
        <v/>
      </c>
      <c r="Q179" s="3" t="inlineStr">
        <is>
          <t>T1.SO.05</t>
        </is>
      </c>
      <c r="R179" s="3" t="inlineStr">
        <is>
          <t>TOAN.DOCVIET</t>
        </is>
      </c>
    </row>
    <row r="180">
      <c r="A180" s="3" t="inlineStr">
        <is>
          <t>toan1-kntt-b24-q1</t>
        </is>
      </c>
      <c r="B180" s="3" t="inlineStr">
        <is>
          <t>Toán</t>
        </is>
      </c>
      <c r="C180" s="3" t="inlineStr">
        <is>
          <t>Kết nối tri thức</t>
        </is>
      </c>
      <c r="D180" s="3" t="inlineStr">
        <is>
          <t>Bài 24</t>
        </is>
      </c>
      <c r="E180" s="3" t="inlineStr">
        <is>
          <t>Chủ đề 6. Các số đến 100</t>
        </is>
      </c>
      <c r="F180" s="3" t="inlineStr">
        <is>
          <t>Bài 24. Luyện tập chung</t>
        </is>
      </c>
      <c r="G180" s="3" t="inlineStr">
        <is>
          <t>Điền đáp án</t>
        </is>
      </c>
      <c r="H180" s="14" t="n">
        <v>1</v>
      </c>
      <c r="I180" s="3" t="inlineStr">
        <is>
          <t>Làm quen</t>
        </is>
      </c>
      <c r="J180" s="3" t="inlineStr">
        <is>
          <t>Số 47 gồm 4 chục và mấy đơn vị?</t>
        </is>
      </c>
      <c r="K180" s="3" t="inlineStr"/>
      <c r="L180" s="3" t="inlineStr">
        <is>
          <t>7</t>
        </is>
      </c>
      <c r="M180" s="3" t="inlineStr">
        <is>
          <t>47 gồm 4 chục và 7 đơn vị.</t>
        </is>
      </c>
      <c r="N180" s="3" t="n"/>
      <c r="O180" s="14" t="n">
        <v>40</v>
      </c>
      <c r="P180" s="14">
        <f>INDEX(Khung_cap_do!$H$2:$H$6,H180)</f>
        <v/>
      </c>
      <c r="Q180" s="3" t="inlineStr">
        <is>
          <t>T1.SO.05</t>
        </is>
      </c>
      <c r="R180" s="3" t="inlineStr">
        <is>
          <t>TOAN.DOCVIET</t>
        </is>
      </c>
    </row>
    <row r="181">
      <c r="A181" s="3" t="inlineStr">
        <is>
          <t>toan1-kntt-b24-q2</t>
        </is>
      </c>
      <c r="B181" s="3" t="inlineStr">
        <is>
          <t>Toán</t>
        </is>
      </c>
      <c r="C181" s="3" t="inlineStr">
        <is>
          <t>Kết nối tri thức</t>
        </is>
      </c>
      <c r="D181" s="3" t="inlineStr">
        <is>
          <t>Bài 24</t>
        </is>
      </c>
      <c r="E181" s="3" t="inlineStr">
        <is>
          <t>Chủ đề 6. Các số đến 100</t>
        </is>
      </c>
      <c r="F181" s="3" t="inlineStr">
        <is>
          <t>Bài 24. Luyện tập chung</t>
        </is>
      </c>
      <c r="G181" s="3" t="inlineStr">
        <is>
          <t>Chọn đáp án</t>
        </is>
      </c>
      <c r="H181" s="14" t="n">
        <v>1</v>
      </c>
      <c r="I181" s="3" t="inlineStr">
        <is>
          <t>Làm quen</t>
        </is>
      </c>
      <c r="J181" s="3" t="inlineStr">
        <is>
          <t>"Ba mươi chín" viết là:</t>
        </is>
      </c>
      <c r="K181" s="3" t="inlineStr">
        <is>
          <t>A. 93 | B. 39 | C. 30</t>
        </is>
      </c>
      <c r="L181" s="3" t="inlineStr">
        <is>
          <t>B</t>
        </is>
      </c>
      <c r="M181" s="3" t="inlineStr">
        <is>
          <t>Ba chục, chín đơn vị: 39.</t>
        </is>
      </c>
      <c r="N181" s="3" t="n"/>
      <c r="O181" s="14" t="n">
        <v>30</v>
      </c>
      <c r="P181" s="14">
        <f>INDEX(Khung_cap_do!$H$2:$H$6,H181)</f>
        <v/>
      </c>
      <c r="Q181" s="3" t="inlineStr">
        <is>
          <t>T1.SO.04</t>
        </is>
      </c>
      <c r="R181" s="3" t="inlineStr">
        <is>
          <t>TOAN.DOCVIET</t>
        </is>
      </c>
    </row>
    <row r="182">
      <c r="A182" s="3" t="inlineStr">
        <is>
          <t>toan1-kntt-b24-q3</t>
        </is>
      </c>
      <c r="B182" s="3" t="inlineStr">
        <is>
          <t>Toán</t>
        </is>
      </c>
      <c r="C182" s="3" t="inlineStr">
        <is>
          <t>Kết nối tri thức</t>
        </is>
      </c>
      <c r="D182" s="3" t="inlineStr">
        <is>
          <t>Bài 24</t>
        </is>
      </c>
      <c r="E182" s="3" t="inlineStr">
        <is>
          <t>Chủ đề 6. Các số đến 100</t>
        </is>
      </c>
      <c r="F182" s="3" t="inlineStr">
        <is>
          <t>Bài 24. Luyện tập chung</t>
        </is>
      </c>
      <c r="G182" s="3" t="inlineStr">
        <is>
          <t>Điền đáp án</t>
        </is>
      </c>
      <c r="H182" s="14" t="n">
        <v>2</v>
      </c>
      <c r="I182" s="3" t="inlineStr">
        <is>
          <t>Cơ bản</t>
        </is>
      </c>
      <c r="J182" s="3" t="inlineStr">
        <is>
          <t>Tìm số còn thiếu: 10, 20, 30, ..., 50</t>
        </is>
      </c>
      <c r="K182" s="3" t="inlineStr"/>
      <c r="L182" s="3" t="inlineStr">
        <is>
          <t>40</t>
        </is>
      </c>
      <c r="M182" s="3" t="inlineStr">
        <is>
          <t>Đếm theo chục: 10, 20, 30, 40, 50.</t>
        </is>
      </c>
      <c r="N182" s="3" t="n"/>
      <c r="O182" s="14" t="n">
        <v>50</v>
      </c>
      <c r="P182" s="14">
        <f>INDEX(Khung_cap_do!$H$2:$H$6,H182)</f>
        <v/>
      </c>
      <c r="Q182" s="3" t="inlineStr">
        <is>
          <t>T1.SO.05</t>
        </is>
      </c>
      <c r="R182" s="3" t="inlineStr">
        <is>
          <t>TOAN.SOTHIEU</t>
        </is>
      </c>
    </row>
    <row r="183">
      <c r="A183" s="3" t="inlineStr">
        <is>
          <t>toan1-kntt-b24-q4</t>
        </is>
      </c>
      <c r="B183" s="3" t="inlineStr">
        <is>
          <t>Toán</t>
        </is>
      </c>
      <c r="C183" s="3" t="inlineStr">
        <is>
          <t>Kết nối tri thức</t>
        </is>
      </c>
      <c r="D183" s="3" t="inlineStr">
        <is>
          <t>Bài 24</t>
        </is>
      </c>
      <c r="E183" s="3" t="inlineStr">
        <is>
          <t>Chủ đề 6. Các số đến 100</t>
        </is>
      </c>
      <c r="F183" s="3" t="inlineStr">
        <is>
          <t>Bài 24. Luyện tập chung</t>
        </is>
      </c>
      <c r="G183" s="3" t="inlineStr">
        <is>
          <t>Chọn đáp án</t>
        </is>
      </c>
      <c r="H183" s="14" t="n">
        <v>2</v>
      </c>
      <c r="I183" s="3" t="inlineStr">
        <is>
          <t>Cơ bản</t>
        </is>
      </c>
      <c r="J183" s="3" t="inlineStr">
        <is>
          <t>Số nào lớn hơn trong hai số 63 và 36?</t>
        </is>
      </c>
      <c r="K183" s="3" t="inlineStr">
        <is>
          <t>A. 63 | B. 36</t>
        </is>
      </c>
      <c r="L183" s="3" t="inlineStr">
        <is>
          <t>A</t>
        </is>
      </c>
      <c r="M183" s="3" t="inlineStr">
        <is>
          <t>63 có 6 chục, nhiều hơn 3 chục.</t>
        </is>
      </c>
      <c r="N183" s="3" t="n"/>
      <c r="O183" s="14" t="n">
        <v>40</v>
      </c>
      <c r="P183" s="14">
        <f>INDEX(Khung_cap_do!$H$2:$H$6,H183)</f>
        <v/>
      </c>
      <c r="Q183" s="3" t="inlineStr">
        <is>
          <t>T1.SO.06</t>
        </is>
      </c>
      <c r="R183" s="3" t="inlineStr">
        <is>
          <t>TOAN.SOSANH</t>
        </is>
      </c>
    </row>
    <row r="184">
      <c r="A184" s="3" t="inlineStr">
        <is>
          <t>toan1-kntt-b24-q5</t>
        </is>
      </c>
      <c r="B184" s="3" t="inlineStr">
        <is>
          <t>Toán</t>
        </is>
      </c>
      <c r="C184" s="3" t="inlineStr">
        <is>
          <t>Kết nối tri thức</t>
        </is>
      </c>
      <c r="D184" s="3" t="inlineStr">
        <is>
          <t>Bài 24</t>
        </is>
      </c>
      <c r="E184" s="3" t="inlineStr">
        <is>
          <t>Chủ đề 6. Các số đến 100</t>
        </is>
      </c>
      <c r="F184" s="3" t="inlineStr">
        <is>
          <t>Bài 24. Luyện tập chung</t>
        </is>
      </c>
      <c r="G184" s="3" t="inlineStr">
        <is>
          <t>Điền đáp án</t>
        </is>
      </c>
      <c r="H184" s="14" t="n">
        <v>3</v>
      </c>
      <c r="I184" s="3" t="inlineStr">
        <is>
          <t>Vận dụng</t>
        </is>
      </c>
      <c r="J184" s="3" t="inlineStr">
        <is>
          <t>Tìm số còn thiếu: 5, 10, 15, 20, ...</t>
        </is>
      </c>
      <c r="K184" s="3" t="inlineStr"/>
      <c r="L184" s="3" t="inlineStr">
        <is>
          <t>25</t>
        </is>
      </c>
      <c r="M184" s="3" t="inlineStr">
        <is>
          <t>Mỗi lần thêm 5: sau 20 là 25.</t>
        </is>
      </c>
      <c r="N184" s="3" t="inlineStr">
        <is>
          <t>Hai số liền nhau trong dãy cách nhau 5 đơn vị (5, 10, 15, 20). Vậy số tiếp theo là 25.</t>
        </is>
      </c>
      <c r="O184" s="14" t="n">
        <v>60</v>
      </c>
      <c r="P184" s="14">
        <f>INDEX(Khung_cap_do!$H$2:$H$6,H184)</f>
        <v/>
      </c>
      <c r="Q184" s="3" t="inlineStr">
        <is>
          <t>T1.SO.04</t>
        </is>
      </c>
      <c r="R184" s="3" t="inlineStr">
        <is>
          <t>TOAN.SOTHIEU</t>
        </is>
      </c>
    </row>
    <row r="185">
      <c r="A185" s="3" t="inlineStr">
        <is>
          <t>toan1-kntt-b24-q6</t>
        </is>
      </c>
      <c r="B185" s="3" t="inlineStr">
        <is>
          <t>Toán</t>
        </is>
      </c>
      <c r="C185" s="3" t="inlineStr">
        <is>
          <t>Kết nối tri thức</t>
        </is>
      </c>
      <c r="D185" s="3" t="inlineStr">
        <is>
          <t>Bài 24</t>
        </is>
      </c>
      <c r="E185" s="3" t="inlineStr">
        <is>
          <t>Chủ đề 6. Các số đến 100</t>
        </is>
      </c>
      <c r="F185" s="3" t="inlineStr">
        <is>
          <t>Bài 24. Luyện tập chung</t>
        </is>
      </c>
      <c r="G185" s="3" t="inlineStr">
        <is>
          <t>Sắp xếp</t>
        </is>
      </c>
      <c r="H185" s="14" t="n">
        <v>3</v>
      </c>
      <c r="I185" s="3" t="inlineStr">
        <is>
          <t>Vận dụng</t>
        </is>
      </c>
      <c r="J185" s="3" t="inlineStr">
        <is>
          <t>Xếp các số theo thứ tự từ lớn đến bé: 31, 35, 40</t>
        </is>
      </c>
      <c r="K185" s="3" t="inlineStr">
        <is>
          <t>31 / 35 / 40</t>
        </is>
      </c>
      <c r="L185" s="3" t="inlineStr">
        <is>
          <t>40 → 35 → 31</t>
        </is>
      </c>
      <c r="M185" s="3" t="inlineStr">
        <is>
          <t>40 &gt; 35 &gt; 31.</t>
        </is>
      </c>
      <c r="N185" s="3" t="inlineStr">
        <is>
          <t>40 có 4 chục nên lớn nhất. 35 và 31 cùng 3 chục, 35 &gt; 31. Thứ tự từ lớn đến bé: 40, 35, 31.</t>
        </is>
      </c>
      <c r="O185" s="14" t="n">
        <v>65</v>
      </c>
      <c r="P185" s="14">
        <f>INDEX(Khung_cap_do!$H$2:$H$6,H185)</f>
        <v/>
      </c>
      <c r="Q185" s="3" t="inlineStr">
        <is>
          <t>T1.SO.06</t>
        </is>
      </c>
      <c r="R185" s="3" t="inlineStr">
        <is>
          <t>TOAN.SAPXEP</t>
        </is>
      </c>
    </row>
    <row r="186">
      <c r="A186" s="3" t="inlineStr">
        <is>
          <t>toan1-kntt-b24-q7</t>
        </is>
      </c>
      <c r="B186" s="3" t="inlineStr">
        <is>
          <t>Toán</t>
        </is>
      </c>
      <c r="C186" s="3" t="inlineStr">
        <is>
          <t>Kết nối tri thức</t>
        </is>
      </c>
      <c r="D186" s="3" t="inlineStr">
        <is>
          <t>Bài 24</t>
        </is>
      </c>
      <c r="E186" s="3" t="inlineStr">
        <is>
          <t>Chủ đề 6. Các số đến 100</t>
        </is>
      </c>
      <c r="F186" s="3" t="inlineStr">
        <is>
          <t>Bài 24. Luyện tập chung</t>
        </is>
      </c>
      <c r="G186" s="3" t="inlineStr">
        <is>
          <t>Đúng / Sai</t>
        </is>
      </c>
      <c r="H186" s="14" t="n">
        <v>4</v>
      </c>
      <c r="I186" s="3" t="inlineStr">
        <is>
          <t>Thử thách</t>
        </is>
      </c>
      <c r="J186" s="3" t="inlineStr">
        <is>
          <t>Số liền sau của 79 là 80. Đúng hay sai?</t>
        </is>
      </c>
      <c r="K186" s="3" t="inlineStr">
        <is>
          <t>A. Đúng | B. Sai</t>
        </is>
      </c>
      <c r="L186" s="3" t="inlineStr">
        <is>
          <t>A</t>
        </is>
      </c>
      <c r="M186" s="3" t="inlineStr">
        <is>
          <t>Đếm 79 rồi đến 80.</t>
        </is>
      </c>
      <c r="N186" s="3" t="inlineStr">
        <is>
          <t>79 thêm 1 thì đủ 8 chục, tức là 80. Câu này đúng.</t>
        </is>
      </c>
      <c r="O186" s="14" t="n">
        <v>60</v>
      </c>
      <c r="P186" s="14">
        <f>INDEX(Khung_cap_do!$H$2:$H$6,H186)</f>
        <v/>
      </c>
      <c r="Q186" s="3" t="inlineStr">
        <is>
          <t>T1.SO.04</t>
        </is>
      </c>
      <c r="R186" s="3" t="inlineStr">
        <is>
          <t>TOAN.DUNGSAI</t>
        </is>
      </c>
    </row>
    <row r="187">
      <c r="A187" s="3" t="inlineStr">
        <is>
          <t>toan1-kntt-b24-q8</t>
        </is>
      </c>
      <c r="B187" s="3" t="inlineStr">
        <is>
          <t>Toán</t>
        </is>
      </c>
      <c r="C187" s="3" t="inlineStr">
        <is>
          <t>Kết nối tri thức</t>
        </is>
      </c>
      <c r="D187" s="3" t="inlineStr">
        <is>
          <t>Bài 24</t>
        </is>
      </c>
      <c r="E187" s="3" t="inlineStr">
        <is>
          <t>Chủ đề 6. Các số đến 100</t>
        </is>
      </c>
      <c r="F187" s="3" t="inlineStr">
        <is>
          <t>Bài 24. Luyện tập chung</t>
        </is>
      </c>
      <c r="G187" s="3" t="inlineStr">
        <is>
          <t>Chọn đáp án</t>
        </is>
      </c>
      <c r="H187" s="14" t="n">
        <v>5</v>
      </c>
      <c r="I187" s="3" t="inlineStr">
        <is>
          <t>Mở rộng</t>
        </is>
      </c>
      <c r="J187" s="3" t="inlineStr">
        <is>
          <t>Một số có hai chữ số, chữ số hàng chục là 5, chữ số hàng đơn vị bé hơn 2. Số đó có thể là:</t>
        </is>
      </c>
      <c r="K187" s="3" t="inlineStr">
        <is>
          <t>A. 52 | B. 51 | C. 15</t>
        </is>
      </c>
      <c r="L187" s="3" t="inlineStr">
        <is>
          <t>B</t>
        </is>
      </c>
      <c r="M187" s="3" t="inlineStr">
        <is>
          <t>51: 5 chục, 1 đơn vị (1 &lt; 2).</t>
        </is>
      </c>
      <c r="N187" s="3" t="inlineStr">
        <is>
          <t>Số cần tìm có dạng 5?, với chữ số đơn vị bé hơn 2 (0 hoặc 1): 50 hoặc 51. Trong các lựa chọn chỉ có 51.</t>
        </is>
      </c>
      <c r="O187" s="14" t="n">
        <v>85</v>
      </c>
      <c r="P187" s="14">
        <f>INDEX(Khung_cap_do!$H$2:$H$6,H187)</f>
        <v/>
      </c>
      <c r="Q187" s="3" t="inlineStr">
        <is>
          <t>T1.SO.05</t>
        </is>
      </c>
      <c r="R187" s="3" t="inlineStr">
        <is>
          <t>TOAN.DOCVIET</t>
        </is>
      </c>
    </row>
    <row r="188">
      <c r="A188" s="3" t="inlineStr">
        <is>
          <t>toan1-kntt-b25-q1</t>
        </is>
      </c>
      <c r="B188" s="3" t="inlineStr">
        <is>
          <t>Toán</t>
        </is>
      </c>
      <c r="C188" s="3" t="inlineStr">
        <is>
          <t>Kết nối tri thức</t>
        </is>
      </c>
      <c r="D188" s="3" t="inlineStr">
        <is>
          <t>Bài 25</t>
        </is>
      </c>
      <c r="E188" s="3" t="inlineStr">
        <is>
          <t>Chủ đề 7. Độ dài và đo độ dài</t>
        </is>
      </c>
      <c r="F188" s="3" t="inlineStr">
        <is>
          <t>Bài 25. Dài hơn, ngắn hơn</t>
        </is>
      </c>
      <c r="G188" s="3" t="inlineStr">
        <is>
          <t>Chọn đáp án</t>
        </is>
      </c>
      <c r="H188" s="14" t="n">
        <v>1</v>
      </c>
      <c r="I188" s="3" t="inlineStr">
        <is>
          <t>Làm quen</t>
        </is>
      </c>
      <c r="J188" s="3" t="inlineStr">
        <is>
          <t>Bút mực dài hơn bút chì. Vậy bút chì … bút mực.</t>
        </is>
      </c>
      <c r="K188" s="3" t="inlineStr">
        <is>
          <t>A. dài hơn | B. ngắn hơn</t>
        </is>
      </c>
      <c r="L188" s="3" t="inlineStr">
        <is>
          <t>B</t>
        </is>
      </c>
      <c r="M188" s="3" t="inlineStr">
        <is>
          <t>Bút mực dài hơn thì bút chì ngắn hơn.</t>
        </is>
      </c>
      <c r="N188" s="3" t="n"/>
      <c r="O188" s="14" t="n">
        <v>30</v>
      </c>
      <c r="P188" s="14">
        <f>INDEX(Khung_cap_do!$H$2:$H$6,H188)</f>
        <v/>
      </c>
      <c r="Q188" s="3" t="inlineStr">
        <is>
          <t>T1.HH.05</t>
        </is>
      </c>
      <c r="R188" s="3" t="inlineStr">
        <is>
          <t>TOAN.DODAI</t>
        </is>
      </c>
    </row>
    <row r="189">
      <c r="A189" s="3" t="inlineStr">
        <is>
          <t>toan1-kntt-b25-q2</t>
        </is>
      </c>
      <c r="B189" s="3" t="inlineStr">
        <is>
          <t>Toán</t>
        </is>
      </c>
      <c r="C189" s="3" t="inlineStr">
        <is>
          <t>Kết nối tri thức</t>
        </is>
      </c>
      <c r="D189" s="3" t="inlineStr">
        <is>
          <t>Bài 25</t>
        </is>
      </c>
      <c r="E189" s="3" t="inlineStr">
        <is>
          <t>Chủ đề 7. Độ dài và đo độ dài</t>
        </is>
      </c>
      <c r="F189" s="3" t="inlineStr">
        <is>
          <t>Bài 25. Dài hơn, ngắn hơn</t>
        </is>
      </c>
      <c r="G189" s="3" t="inlineStr">
        <is>
          <t>Chọn đáp án</t>
        </is>
      </c>
      <c r="H189" s="14" t="n">
        <v>1</v>
      </c>
      <c r="I189" s="3" t="inlineStr">
        <is>
          <t>Làm quen</t>
        </is>
      </c>
      <c r="J189" s="3" t="inlineStr">
        <is>
          <t>Con hươu cao cổ và con mèo, con nào cao hơn?</t>
        </is>
      </c>
      <c r="K189" s="3" t="inlineStr">
        <is>
          <t>A. Con hươu cao cổ | B. Con mèo</t>
        </is>
      </c>
      <c r="L189" s="3" t="inlineStr">
        <is>
          <t>A</t>
        </is>
      </c>
      <c r="M189" s="3" t="inlineStr">
        <is>
          <t>Hươu cao cổ cao hơn mèo rất nhiều.</t>
        </is>
      </c>
      <c r="N189" s="3" t="n"/>
      <c r="O189" s="14" t="n">
        <v>30</v>
      </c>
      <c r="P189" s="14">
        <f>INDEX(Khung_cap_do!$H$2:$H$6,H189)</f>
        <v/>
      </c>
      <c r="Q189" s="3" t="inlineStr">
        <is>
          <t>T1.HH.05</t>
        </is>
      </c>
      <c r="R189" s="3" t="inlineStr">
        <is>
          <t>TOAN.DODAI</t>
        </is>
      </c>
    </row>
    <row r="190">
      <c r="A190" s="3" t="inlineStr">
        <is>
          <t>toan1-kntt-b25-q3</t>
        </is>
      </c>
      <c r="B190" s="3" t="inlineStr">
        <is>
          <t>Toán</t>
        </is>
      </c>
      <c r="C190" s="3" t="inlineStr">
        <is>
          <t>Kết nối tri thức</t>
        </is>
      </c>
      <c r="D190" s="3" t="inlineStr">
        <is>
          <t>Bài 25</t>
        </is>
      </c>
      <c r="E190" s="3" t="inlineStr">
        <is>
          <t>Chủ đề 7. Độ dài và đo độ dài</t>
        </is>
      </c>
      <c r="F190" s="3" t="inlineStr">
        <is>
          <t>Bài 25. Dài hơn, ngắn hơn</t>
        </is>
      </c>
      <c r="G190" s="3" t="inlineStr">
        <is>
          <t>Chọn đáp án</t>
        </is>
      </c>
      <c r="H190" s="14" t="n">
        <v>2</v>
      </c>
      <c r="I190" s="3" t="inlineStr">
        <is>
          <t>Cơ bản</t>
        </is>
      </c>
      <c r="J190" s="3" t="inlineStr">
        <is>
          <t>🟥🟥🟥🟥🟥
🟦🟦🟦
Hai băng giấy đặt thẳng một đầu. Băng nào dài hơn?</t>
        </is>
      </c>
      <c r="K190" s="3" t="inlineStr">
        <is>
          <t>A. Băng đỏ | B. Băng xanh</t>
        </is>
      </c>
      <c r="L190" s="3" t="inlineStr">
        <is>
          <t>A</t>
        </is>
      </c>
      <c r="M190" s="3" t="inlineStr">
        <is>
          <t>Băng đỏ có 5 ô, băng xanh có 3 ô; băng đỏ dài hơn.</t>
        </is>
      </c>
      <c r="N190" s="3" t="n"/>
      <c r="O190" s="14" t="n">
        <v>40</v>
      </c>
      <c r="P190" s="14">
        <f>INDEX(Khung_cap_do!$H$2:$H$6,H190)</f>
        <v/>
      </c>
      <c r="Q190" s="3" t="inlineStr">
        <is>
          <t>T1.HH.05</t>
        </is>
      </c>
      <c r="R190" s="3" t="inlineStr">
        <is>
          <t>TOAN.DODAI</t>
        </is>
      </c>
    </row>
    <row r="191">
      <c r="A191" s="3" t="inlineStr">
        <is>
          <t>toan1-kntt-b25-q4</t>
        </is>
      </c>
      <c r="B191" s="3" t="inlineStr">
        <is>
          <t>Toán</t>
        </is>
      </c>
      <c r="C191" s="3" t="inlineStr">
        <is>
          <t>Kết nối tri thức</t>
        </is>
      </c>
      <c r="D191" s="3" t="inlineStr">
        <is>
          <t>Bài 25</t>
        </is>
      </c>
      <c r="E191" s="3" t="inlineStr">
        <is>
          <t>Chủ đề 7. Độ dài và đo độ dài</t>
        </is>
      </c>
      <c r="F191" s="3" t="inlineStr">
        <is>
          <t>Bài 25. Dài hơn, ngắn hơn</t>
        </is>
      </c>
      <c r="G191" s="3" t="inlineStr">
        <is>
          <t>Chọn đáp án</t>
        </is>
      </c>
      <c r="H191" s="14" t="n">
        <v>3</v>
      </c>
      <c r="I191" s="3" t="inlineStr">
        <is>
          <t>Vận dụng</t>
        </is>
      </c>
      <c r="J191" s="3" t="inlineStr">
        <is>
          <t>🟩🟩🟩🟩
🟨🟨🟨🟨🟨🟨
🟪🟪
Băng giấy nào ngắn nhất?</t>
        </is>
      </c>
      <c r="K191" s="3" t="inlineStr">
        <is>
          <t>A. Băng xanh lá | B. Băng vàng | C. Băng tím</t>
        </is>
      </c>
      <c r="L191" s="3" t="inlineStr">
        <is>
          <t>C</t>
        </is>
      </c>
      <c r="M191" s="3" t="inlineStr">
        <is>
          <t>Băng tím chỉ có 2 ô.</t>
        </is>
      </c>
      <c r="N191" s="3" t="inlineStr">
        <is>
          <t>Các băng đặt thẳng một đầu. Đếm ô: xanh lá 4, vàng 6, tím 2. Băng có ít ô nhất ngắn nhất: băng tím.</t>
        </is>
      </c>
      <c r="O191" s="14" t="n">
        <v>50</v>
      </c>
      <c r="P191" s="14">
        <f>INDEX(Khung_cap_do!$H$2:$H$6,H191)</f>
        <v/>
      </c>
      <c r="Q191" s="3" t="inlineStr">
        <is>
          <t>T1.HH.05</t>
        </is>
      </c>
      <c r="R191" s="3" t="inlineStr">
        <is>
          <t>TOAN.DODAI</t>
        </is>
      </c>
    </row>
    <row r="192">
      <c r="A192" s="3" t="inlineStr">
        <is>
          <t>toan1-kntt-b25-q5</t>
        </is>
      </c>
      <c r="B192" s="3" t="inlineStr">
        <is>
          <t>Toán</t>
        </is>
      </c>
      <c r="C192" s="3" t="inlineStr">
        <is>
          <t>Kết nối tri thức</t>
        </is>
      </c>
      <c r="D192" s="3" t="inlineStr">
        <is>
          <t>Bài 25</t>
        </is>
      </c>
      <c r="E192" s="3" t="inlineStr">
        <is>
          <t>Chủ đề 7. Độ dài và đo độ dài</t>
        </is>
      </c>
      <c r="F192" s="3" t="inlineStr">
        <is>
          <t>Bài 25. Dài hơn, ngắn hơn</t>
        </is>
      </c>
      <c r="G192" s="3" t="inlineStr">
        <is>
          <t>Đúng / Sai</t>
        </is>
      </c>
      <c r="H192" s="14" t="n">
        <v>4</v>
      </c>
      <c r="I192" s="3" t="inlineStr">
        <is>
          <t>Thử thách</t>
        </is>
      </c>
      <c r="J192" s="3" t="inlineStr">
        <is>
          <t>Bạn An cao hơn bạn Bình, bạn Bình cao hơn bạn Chi. Vậy bạn Chi thấp nhất. Đúng hay sai?</t>
        </is>
      </c>
      <c r="K192" s="3" t="inlineStr">
        <is>
          <t>A. Đúng | B. Sai</t>
        </is>
      </c>
      <c r="L192" s="3" t="inlineStr">
        <is>
          <t>A</t>
        </is>
      </c>
      <c r="M192" s="3" t="inlineStr">
        <is>
          <t>An &gt; Bình &gt; Chi về chiều cao: Chi thấp nhất.</t>
        </is>
      </c>
      <c r="N192" s="3" t="inlineStr">
        <is>
          <t>An cao hơn Bình, mà Bình lại cao hơn Chi, nên Chi thấp hơn cả hai bạn. Câu này đúng.</t>
        </is>
      </c>
      <c r="O192" s="14" t="n">
        <v>70</v>
      </c>
      <c r="P192" s="14">
        <f>INDEX(Khung_cap_do!$H$2:$H$6,H192)</f>
        <v/>
      </c>
      <c r="Q192" s="3" t="inlineStr">
        <is>
          <t>T1.HH.05</t>
        </is>
      </c>
      <c r="R192" s="3" t="inlineStr">
        <is>
          <t>TOAN.DUNGSAI</t>
        </is>
      </c>
    </row>
    <row r="193">
      <c r="A193" s="3" t="inlineStr">
        <is>
          <t>toan1-kntt-b25-q6</t>
        </is>
      </c>
      <c r="B193" s="3" t="inlineStr">
        <is>
          <t>Toán</t>
        </is>
      </c>
      <c r="C193" s="3" t="inlineStr">
        <is>
          <t>Kết nối tri thức</t>
        </is>
      </c>
      <c r="D193" s="3" t="inlineStr">
        <is>
          <t>Bài 25</t>
        </is>
      </c>
      <c r="E193" s="3" t="inlineStr">
        <is>
          <t>Chủ đề 7. Độ dài và đo độ dài</t>
        </is>
      </c>
      <c r="F193" s="3" t="inlineStr">
        <is>
          <t>Bài 25. Dài hơn, ngắn hơn</t>
        </is>
      </c>
      <c r="G193" s="3" t="inlineStr">
        <is>
          <t>Chọn đáp án</t>
        </is>
      </c>
      <c r="H193" s="14" t="n">
        <v>5</v>
      </c>
      <c r="I193" s="3" t="inlineStr">
        <is>
          <t>Mở rộng</t>
        </is>
      </c>
      <c r="J193" s="3" t="inlineStr">
        <is>
          <t>Sợi dây đỏ dài hơn sợi dây xanh. Sợi dây vàng ngắn hơn sợi dây xanh. Sợi dây nào dài nhất?</t>
        </is>
      </c>
      <c r="K193" s="3" t="inlineStr">
        <is>
          <t>A. Sợi dây đỏ | B. Sợi dây xanh | C. Sợi dây vàng</t>
        </is>
      </c>
      <c r="L193" s="3" t="inlineStr">
        <is>
          <t>A</t>
        </is>
      </c>
      <c r="M193" s="3" t="inlineStr">
        <is>
          <t>Đỏ dài hơn xanh, xanh dài hơn vàng: đỏ dài nhất.</t>
        </is>
      </c>
      <c r="N193" s="3" t="inlineStr">
        <is>
          <t>Xếp từ dài đến ngắn: đỏ (dài hơn xanh), xanh, vàng (ngắn hơn xanh). Dây dài nhất là dây đỏ.</t>
        </is>
      </c>
      <c r="O193" s="14" t="n">
        <v>85</v>
      </c>
      <c r="P193" s="14">
        <f>INDEX(Khung_cap_do!$H$2:$H$6,H193)</f>
        <v/>
      </c>
      <c r="Q193" s="3" t="inlineStr">
        <is>
          <t>T1.HH.05</t>
        </is>
      </c>
      <c r="R193" s="3" t="inlineStr">
        <is>
          <t>TOAN.DODAI</t>
        </is>
      </c>
    </row>
    <row r="194">
      <c r="A194" s="3" t="inlineStr">
        <is>
          <t>toan1-kntt-b26-q1</t>
        </is>
      </c>
      <c r="B194" s="3" t="inlineStr">
        <is>
          <t>Toán</t>
        </is>
      </c>
      <c r="C194" s="3" t="inlineStr">
        <is>
          <t>Kết nối tri thức</t>
        </is>
      </c>
      <c r="D194" s="3" t="inlineStr">
        <is>
          <t>Bài 26</t>
        </is>
      </c>
      <c r="E194" s="3" t="inlineStr">
        <is>
          <t>Chủ đề 7. Độ dài và đo độ dài</t>
        </is>
      </c>
      <c r="F194" s="3" t="inlineStr">
        <is>
          <t>Bài 26. Đơn vị đo độ dài</t>
        </is>
      </c>
      <c r="G194" s="3" t="inlineStr">
        <is>
          <t>Chọn đáp án</t>
        </is>
      </c>
      <c r="H194" s="14" t="n">
        <v>1</v>
      </c>
      <c r="I194" s="3" t="inlineStr">
        <is>
          <t>Làm quen</t>
        </is>
      </c>
      <c r="J194" s="3" t="inlineStr">
        <is>
          <t>Xăng-ti-mét viết tắt là:</t>
        </is>
      </c>
      <c r="K194" s="3" t="inlineStr">
        <is>
          <t>A. cm | B. xm | C. m</t>
        </is>
      </c>
      <c r="L194" s="3" t="inlineStr">
        <is>
          <t>A</t>
        </is>
      </c>
      <c r="M194" s="3" t="inlineStr">
        <is>
          <t>Xăng-ti-mét viết tắt là cm.</t>
        </is>
      </c>
      <c r="N194" s="3" t="n"/>
      <c r="O194" s="14" t="n">
        <v>30</v>
      </c>
      <c r="P194" s="14">
        <f>INDEX(Khung_cap_do!$H$2:$H$6,H194)</f>
        <v/>
      </c>
      <c r="Q194" s="3" t="inlineStr">
        <is>
          <t>T1.HH.05</t>
        </is>
      </c>
      <c r="R194" s="3" t="inlineStr">
        <is>
          <t>TOAN.DODAI</t>
        </is>
      </c>
    </row>
    <row r="195">
      <c r="A195" s="3" t="inlineStr">
        <is>
          <t>toan1-kntt-b26-q2</t>
        </is>
      </c>
      <c r="B195" s="3" t="inlineStr">
        <is>
          <t>Toán</t>
        </is>
      </c>
      <c r="C195" s="3" t="inlineStr">
        <is>
          <t>Kết nối tri thức</t>
        </is>
      </c>
      <c r="D195" s="3" t="inlineStr">
        <is>
          <t>Bài 26</t>
        </is>
      </c>
      <c r="E195" s="3" t="inlineStr">
        <is>
          <t>Chủ đề 7. Độ dài và đo độ dài</t>
        </is>
      </c>
      <c r="F195" s="3" t="inlineStr">
        <is>
          <t>Bài 26. Đơn vị đo độ dài</t>
        </is>
      </c>
      <c r="G195" s="3" t="inlineStr">
        <is>
          <t>Chọn đáp án</t>
        </is>
      </c>
      <c r="H195" s="14" t="n">
        <v>1</v>
      </c>
      <c r="I195" s="3" t="inlineStr">
        <is>
          <t>Làm quen</t>
        </is>
      </c>
      <c r="J195" s="3" t="inlineStr">
        <is>
          <t>Khi đo bằng thước, em đặt một đầu đồ vật thẳng với vạch nào?</t>
        </is>
      </c>
      <c r="K195" s="3" t="inlineStr">
        <is>
          <t>A. Vạch 0 | B. Vạch 1 | C. Vạch 5</t>
        </is>
      </c>
      <c r="L195" s="3" t="inlineStr">
        <is>
          <t>A</t>
        </is>
      </c>
      <c r="M195" s="3" t="inlineStr">
        <is>
          <t>Đặt một đầu thẳng vạch 0, đầu kia chỉ số nào thì vật dài bấy nhiêu xăng-ti-mét.</t>
        </is>
      </c>
      <c r="N195" s="3" t="n"/>
      <c r="O195" s="14" t="n">
        <v>30</v>
      </c>
      <c r="P195" s="14">
        <f>INDEX(Khung_cap_do!$H$2:$H$6,H195)</f>
        <v/>
      </c>
      <c r="Q195" s="3" t="inlineStr">
        <is>
          <t>T1.HH.06</t>
        </is>
      </c>
      <c r="R195" s="3" t="inlineStr">
        <is>
          <t>TOAN.DODAI</t>
        </is>
      </c>
    </row>
    <row r="196">
      <c r="A196" s="3" t="inlineStr">
        <is>
          <t>toan1-kntt-b26-q3</t>
        </is>
      </c>
      <c r="B196" s="3" t="inlineStr">
        <is>
          <t>Toán</t>
        </is>
      </c>
      <c r="C196" s="3" t="inlineStr">
        <is>
          <t>Kết nối tri thức</t>
        </is>
      </c>
      <c r="D196" s="3" t="inlineStr">
        <is>
          <t>Bài 26</t>
        </is>
      </c>
      <c r="E196" s="3" t="inlineStr">
        <is>
          <t>Chủ đề 7. Độ dài và đo độ dài</t>
        </is>
      </c>
      <c r="F196" s="3" t="inlineStr">
        <is>
          <t>Bài 26. Đơn vị đo độ dài</t>
        </is>
      </c>
      <c r="G196" s="3" t="inlineStr">
        <is>
          <t>Điền đáp án</t>
        </is>
      </c>
      <c r="H196" s="14" t="n">
        <v>2</v>
      </c>
      <c r="I196" s="3" t="inlineStr">
        <is>
          <t>Cơ bản</t>
        </is>
      </c>
      <c r="J196" s="3" t="inlineStr">
        <is>
          <t>Một đầu chiếc bút chì ở vạch 0, đầu kia ở vạch 9 của thước. Bút chì dài bao nhiêu xăng-ti-mét? (chỉ viết số)</t>
        </is>
      </c>
      <c r="K196" s="3" t="inlineStr"/>
      <c r="L196" s="3" t="inlineStr">
        <is>
          <t>9</t>
        </is>
      </c>
      <c r="M196" s="3" t="inlineStr">
        <is>
          <t>Đầu kia ở vạch 9: bút dài 9 cm.</t>
        </is>
      </c>
      <c r="N196" s="3" t="n"/>
      <c r="O196" s="14" t="n">
        <v>60</v>
      </c>
      <c r="P196" s="14">
        <f>INDEX(Khung_cap_do!$H$2:$H$6,H196)</f>
        <v/>
      </c>
      <c r="Q196" s="3" t="inlineStr">
        <is>
          <t>T1.HH.06</t>
        </is>
      </c>
      <c r="R196" s="3" t="inlineStr">
        <is>
          <t>TOAN.DODAI</t>
        </is>
      </c>
    </row>
    <row r="197">
      <c r="A197" s="3" t="inlineStr">
        <is>
          <t>toan1-kntt-b26-q4</t>
        </is>
      </c>
      <c r="B197" s="3" t="inlineStr">
        <is>
          <t>Toán</t>
        </is>
      </c>
      <c r="C197" s="3" t="inlineStr">
        <is>
          <t>Kết nối tri thức</t>
        </is>
      </c>
      <c r="D197" s="3" t="inlineStr">
        <is>
          <t>Bài 26</t>
        </is>
      </c>
      <c r="E197" s="3" t="inlineStr">
        <is>
          <t>Chủ đề 7. Độ dài và đo độ dài</t>
        </is>
      </c>
      <c r="F197" s="3" t="inlineStr">
        <is>
          <t>Bài 26. Đơn vị đo độ dài</t>
        </is>
      </c>
      <c r="G197" s="3" t="inlineStr">
        <is>
          <t>Chọn đáp án</t>
        </is>
      </c>
      <c r="H197" s="14" t="n">
        <v>2</v>
      </c>
      <c r="I197" s="3" t="inlineStr">
        <is>
          <t>Cơ bản</t>
        </is>
      </c>
      <c r="J197" s="3" t="inlineStr">
        <is>
          <t>Bút A dài 12 cm, bút B dài 9 cm. Bút nào dài hơn?</t>
        </is>
      </c>
      <c r="K197" s="3" t="inlineStr">
        <is>
          <t>A. Bút A | B. Bút B</t>
        </is>
      </c>
      <c r="L197" s="3" t="inlineStr">
        <is>
          <t>A</t>
        </is>
      </c>
      <c r="M197" s="3" t="inlineStr">
        <is>
          <t>12 &gt; 9 nên bút A dài hơn.</t>
        </is>
      </c>
      <c r="N197" s="3" t="n"/>
      <c r="O197" s="14" t="n">
        <v>40</v>
      </c>
      <c r="P197" s="14">
        <f>INDEX(Khung_cap_do!$H$2:$H$6,H197)</f>
        <v/>
      </c>
      <c r="Q197" s="3" t="inlineStr">
        <is>
          <t>T1.HH.05</t>
        </is>
      </c>
      <c r="R197" s="3" t="inlineStr">
        <is>
          <t>TOAN.DODAI</t>
        </is>
      </c>
    </row>
    <row r="198">
      <c r="A198" s="3" t="inlineStr">
        <is>
          <t>toan1-kntt-b26-q5</t>
        </is>
      </c>
      <c r="B198" s="3" t="inlineStr">
        <is>
          <t>Toán</t>
        </is>
      </c>
      <c r="C198" s="3" t="inlineStr">
        <is>
          <t>Kết nối tri thức</t>
        </is>
      </c>
      <c r="D198" s="3" t="inlineStr">
        <is>
          <t>Bài 26</t>
        </is>
      </c>
      <c r="E198" s="3" t="inlineStr">
        <is>
          <t>Chủ đề 7. Độ dài và đo độ dài</t>
        </is>
      </c>
      <c r="F198" s="3" t="inlineStr">
        <is>
          <t>Bài 26. Đơn vị đo độ dài</t>
        </is>
      </c>
      <c r="G198" s="3" t="inlineStr">
        <is>
          <t>Chọn đáp án</t>
        </is>
      </c>
      <c r="H198" s="14" t="n">
        <v>3</v>
      </c>
      <c r="I198" s="3" t="inlineStr">
        <is>
          <t>Vận dụng</t>
        </is>
      </c>
      <c r="J198" s="3" t="inlineStr">
        <is>
          <t>Em đo cái bàn được 5 gang tay, đo cái ghế được 3 gang tay. Đồ vật nào dài hơn?</t>
        </is>
      </c>
      <c r="K198" s="3" t="inlineStr">
        <is>
          <t>A. Cái bàn | B. Cái ghế</t>
        </is>
      </c>
      <c r="L198" s="3" t="inlineStr">
        <is>
          <t>A</t>
        </is>
      </c>
      <c r="M198" s="3" t="inlineStr">
        <is>
          <t>Cùng đo bằng gang tay: 5 &gt; 3, cái bàn dài hơn.</t>
        </is>
      </c>
      <c r="N198" s="3" t="inlineStr">
        <is>
          <t>Hai đồ vật được đo bằng cùng một gang tay nên chỉ cần so sánh số đo: 5 gang tay nhiều hơn 3 gang tay. Cái bàn dài hơn.</t>
        </is>
      </c>
      <c r="O198" s="14" t="n">
        <v>60</v>
      </c>
      <c r="P198" s="14">
        <f>INDEX(Khung_cap_do!$H$2:$H$6,H198)</f>
        <v/>
      </c>
      <c r="Q198" s="3" t="inlineStr">
        <is>
          <t>T1.HH.06</t>
        </is>
      </c>
      <c r="R198" s="3" t="inlineStr">
        <is>
          <t>TOAN.DODAI</t>
        </is>
      </c>
    </row>
    <row r="199">
      <c r="A199" s="3" t="inlineStr">
        <is>
          <t>toan1-kntt-b26-q6</t>
        </is>
      </c>
      <c r="B199" s="3" t="inlineStr">
        <is>
          <t>Toán</t>
        </is>
      </c>
      <c r="C199" s="3" t="inlineStr">
        <is>
          <t>Kết nối tri thức</t>
        </is>
      </c>
      <c r="D199" s="3" t="inlineStr">
        <is>
          <t>Bài 26</t>
        </is>
      </c>
      <c r="E199" s="3" t="inlineStr">
        <is>
          <t>Chủ đề 7. Độ dài và đo độ dài</t>
        </is>
      </c>
      <c r="F199" s="3" t="inlineStr">
        <is>
          <t>Bài 26. Đơn vị đo độ dài</t>
        </is>
      </c>
      <c r="G199" s="3" t="inlineStr">
        <is>
          <t>Chọn đáp án</t>
        </is>
      </c>
      <c r="H199" s="14" t="n">
        <v>4</v>
      </c>
      <c r="I199" s="3" t="inlineStr">
        <is>
          <t>Thử thách</t>
        </is>
      </c>
      <c r="J199" s="3" t="inlineStr">
        <is>
          <t>Dùng cách nào để đo chiều dài lớp học cho nhanh?</t>
        </is>
      </c>
      <c r="K199" s="3" t="inlineStr">
        <is>
          <t>A. Đếm bước chân | B. Đếm gang tay | C. Đếm đốt ngón tay</t>
        </is>
      </c>
      <c r="L199" s="3" t="inlineStr">
        <is>
          <t>A</t>
        </is>
      </c>
      <c r="M199" s="3" t="inlineStr">
        <is>
          <t>Lớp học dài, đo bằng bước chân nhanh hơn.</t>
        </is>
      </c>
      <c r="N199" s="3" t="inlineStr">
        <is>
          <t>Gang tay và đốt ngón tay rất ngắn so với lớp học nên phải đếm rất nhiều lần. Bước chân dài hơn, phù hợp để đo đoạn dài như phòng học.</t>
        </is>
      </c>
      <c r="O199" s="14" t="n">
        <v>60</v>
      </c>
      <c r="P199" s="14">
        <f>INDEX(Khung_cap_do!$H$2:$H$6,H199)</f>
        <v/>
      </c>
      <c r="Q199" s="3" t="inlineStr">
        <is>
          <t>T1.HH.06</t>
        </is>
      </c>
      <c r="R199" s="3" t="inlineStr">
        <is>
          <t>TOAN.DODAI</t>
        </is>
      </c>
    </row>
    <row r="200">
      <c r="A200" s="3" t="inlineStr">
        <is>
          <t>toan1-kntt-b26-q7</t>
        </is>
      </c>
      <c r="B200" s="3" t="inlineStr">
        <is>
          <t>Toán</t>
        </is>
      </c>
      <c r="C200" s="3" t="inlineStr">
        <is>
          <t>Kết nối tri thức</t>
        </is>
      </c>
      <c r="D200" s="3" t="inlineStr">
        <is>
          <t>Bài 26</t>
        </is>
      </c>
      <c r="E200" s="3" t="inlineStr">
        <is>
          <t>Chủ đề 7. Độ dài và đo độ dài</t>
        </is>
      </c>
      <c r="F200" s="3" t="inlineStr">
        <is>
          <t>Bài 26. Đơn vị đo độ dài</t>
        </is>
      </c>
      <c r="G200" s="3" t="inlineStr">
        <is>
          <t>Chọn nhiều đáp án</t>
        </is>
      </c>
      <c r="H200" s="14" t="n">
        <v>5</v>
      </c>
      <c r="I200" s="3" t="inlineStr">
        <is>
          <t>Mở rộng</t>
        </is>
      </c>
      <c r="J200" s="3" t="inlineStr">
        <is>
          <t>Chọn tất cả các bút dài hơn 8 cm: bút A dài 7 cm, bút B dài 10 cm, bút C dài 8 cm, bút D dài 11 cm.</t>
        </is>
      </c>
      <c r="K200" s="3" t="inlineStr">
        <is>
          <t>A. Bút A | B. Bút B | C. Bút C | D. Bút D</t>
        </is>
      </c>
      <c r="L200" s="3" t="inlineStr">
        <is>
          <t>B, D</t>
        </is>
      </c>
      <c r="M200" s="3" t="inlineStr">
        <is>
          <t>10 cm và 11 cm dài hơn 8 cm.</t>
        </is>
      </c>
      <c r="N200" s="3" t="inlineStr">
        <is>
          <t>So sánh từng số đo với 8: 7 &lt; 8 (không), 10 &gt; 8 (có), 8 = 8 (không dài hơn), 11 &gt; 8 (có). Chọn bút B và bút D.</t>
        </is>
      </c>
      <c r="O200" s="14" t="n">
        <v>95</v>
      </c>
      <c r="P200" s="14">
        <f>INDEX(Khung_cap_do!$H$2:$H$6,H200)</f>
        <v/>
      </c>
      <c r="Q200" s="3" t="inlineStr">
        <is>
          <t>T1.HH.06</t>
        </is>
      </c>
      <c r="R200" s="3" t="inlineStr">
        <is>
          <t>TOAN.DODAI</t>
        </is>
      </c>
    </row>
    <row r="201">
      <c r="A201" s="3" t="inlineStr">
        <is>
          <t>toan1-kntt-b27-q1</t>
        </is>
      </c>
      <c r="B201" s="3" t="inlineStr">
        <is>
          <t>Toán</t>
        </is>
      </c>
      <c r="C201" s="3" t="inlineStr">
        <is>
          <t>Kết nối tri thức</t>
        </is>
      </c>
      <c r="D201" s="3" t="inlineStr">
        <is>
          <t>Bài 27</t>
        </is>
      </c>
      <c r="E201" s="3" t="inlineStr">
        <is>
          <t>Chủ đề 7. Độ dài và đo độ dài</t>
        </is>
      </c>
      <c r="F201" s="3" t="inlineStr">
        <is>
          <t>Bài 27. Thực hành ước lượng và đo độ dài</t>
        </is>
      </c>
      <c r="G201" s="3" t="inlineStr">
        <is>
          <t>Chọn đáp án</t>
        </is>
      </c>
      <c r="H201" s="14" t="n">
        <v>1</v>
      </c>
      <c r="I201" s="3" t="inlineStr">
        <is>
          <t>Làm quen</t>
        </is>
      </c>
      <c r="J201" s="3" t="inlineStr">
        <is>
          <t>Chiếc bút chì dài khoảng:</t>
        </is>
      </c>
      <c r="K201" s="3" t="inlineStr">
        <is>
          <t>A. 1 cm | B. 15 cm | C. 90 cm</t>
        </is>
      </c>
      <c r="L201" s="3" t="inlineStr">
        <is>
          <t>B</t>
        </is>
      </c>
      <c r="M201" s="3" t="inlineStr">
        <is>
          <t>Bút chì dài khoảng 15 cm.</t>
        </is>
      </c>
      <c r="N201" s="3" t="n"/>
      <c r="O201" s="14" t="n">
        <v>30</v>
      </c>
      <c r="P201" s="14">
        <f>INDEX(Khung_cap_do!$H$2:$H$6,H201)</f>
        <v/>
      </c>
      <c r="Q201" s="3" t="inlineStr">
        <is>
          <t>T1.HH.06</t>
        </is>
      </c>
      <c r="R201" s="3" t="inlineStr">
        <is>
          <t>TOAN.DODAI</t>
        </is>
      </c>
    </row>
    <row r="202">
      <c r="A202" s="3" t="inlineStr">
        <is>
          <t>toan1-kntt-b27-q2</t>
        </is>
      </c>
      <c r="B202" s="3" t="inlineStr">
        <is>
          <t>Toán</t>
        </is>
      </c>
      <c r="C202" s="3" t="inlineStr">
        <is>
          <t>Kết nối tri thức</t>
        </is>
      </c>
      <c r="D202" s="3" t="inlineStr">
        <is>
          <t>Bài 27</t>
        </is>
      </c>
      <c r="E202" s="3" t="inlineStr">
        <is>
          <t>Chủ đề 7. Độ dài và đo độ dài</t>
        </is>
      </c>
      <c r="F202" s="3" t="inlineStr">
        <is>
          <t>Bài 27. Thực hành ước lượng và đo độ dài</t>
        </is>
      </c>
      <c r="G202" s="3" t="inlineStr">
        <is>
          <t>Chọn đáp án</t>
        </is>
      </c>
      <c r="H202" s="14" t="n">
        <v>1</v>
      </c>
      <c r="I202" s="3" t="inlineStr">
        <is>
          <t>Làm quen</t>
        </is>
      </c>
      <c r="J202" s="3" t="inlineStr">
        <is>
          <t>Cục tẩy dài khoảng:</t>
        </is>
      </c>
      <c r="K202" s="3" t="inlineStr">
        <is>
          <t>A. 4 cm | B. 40 cm | C. 80 cm</t>
        </is>
      </c>
      <c r="L202" s="3" t="inlineStr">
        <is>
          <t>A</t>
        </is>
      </c>
      <c r="M202" s="3" t="inlineStr">
        <is>
          <t>Cục tẩy nhỏ, dài khoảng 4 cm.</t>
        </is>
      </c>
      <c r="N202" s="3" t="n"/>
      <c r="O202" s="14" t="n">
        <v>30</v>
      </c>
      <c r="P202" s="14">
        <f>INDEX(Khung_cap_do!$H$2:$H$6,H202)</f>
        <v/>
      </c>
      <c r="Q202" s="3" t="inlineStr">
        <is>
          <t>T1.HH.06</t>
        </is>
      </c>
      <c r="R202" s="3" t="inlineStr">
        <is>
          <t>TOAN.DODAI</t>
        </is>
      </c>
    </row>
    <row r="203">
      <c r="A203" s="3" t="inlineStr">
        <is>
          <t>toan1-kntt-b27-q3</t>
        </is>
      </c>
      <c r="B203" s="3" t="inlineStr">
        <is>
          <t>Toán</t>
        </is>
      </c>
      <c r="C203" s="3" t="inlineStr">
        <is>
          <t>Kết nối tri thức</t>
        </is>
      </c>
      <c r="D203" s="3" t="inlineStr">
        <is>
          <t>Bài 27</t>
        </is>
      </c>
      <c r="E203" s="3" t="inlineStr">
        <is>
          <t>Chủ đề 7. Độ dài và đo độ dài</t>
        </is>
      </c>
      <c r="F203" s="3" t="inlineStr">
        <is>
          <t>Bài 27. Thực hành ước lượng và đo độ dài</t>
        </is>
      </c>
      <c r="G203" s="3" t="inlineStr">
        <is>
          <t>Chọn đáp án</t>
        </is>
      </c>
      <c r="H203" s="14" t="n">
        <v>2</v>
      </c>
      <c r="I203" s="3" t="inlineStr">
        <is>
          <t>Cơ bản</t>
        </is>
      </c>
      <c r="J203" s="3" t="inlineStr">
        <is>
          <t>Bảng lớp học dài khoảng:</t>
        </is>
      </c>
      <c r="K203" s="3" t="inlineStr">
        <is>
          <t>A. 3 cm | B. 3 gang tay | C. 3 sải tay</t>
        </is>
      </c>
      <c r="L203" s="3" t="inlineStr">
        <is>
          <t>C</t>
        </is>
      </c>
      <c r="M203" s="3" t="inlineStr">
        <is>
          <t>Bảng lớp dài, khoảng 3 sải tay.</t>
        </is>
      </c>
      <c r="N203" s="3" t="n"/>
      <c r="O203" s="14" t="n">
        <v>40</v>
      </c>
      <c r="P203" s="14">
        <f>INDEX(Khung_cap_do!$H$2:$H$6,H203)</f>
        <v/>
      </c>
      <c r="Q203" s="3" t="inlineStr">
        <is>
          <t>T1.HH.06</t>
        </is>
      </c>
      <c r="R203" s="3" t="inlineStr">
        <is>
          <t>TOAN.DODAI</t>
        </is>
      </c>
    </row>
    <row r="204">
      <c r="A204" s="3" t="inlineStr">
        <is>
          <t>toan1-kntt-b27-q4</t>
        </is>
      </c>
      <c r="B204" s="3" t="inlineStr">
        <is>
          <t>Toán</t>
        </is>
      </c>
      <c r="C204" s="3" t="inlineStr">
        <is>
          <t>Kết nối tri thức</t>
        </is>
      </c>
      <c r="D204" s="3" t="inlineStr">
        <is>
          <t>Bài 27</t>
        </is>
      </c>
      <c r="E204" s="3" t="inlineStr">
        <is>
          <t>Chủ đề 7. Độ dài và đo độ dài</t>
        </is>
      </c>
      <c r="F204" s="3" t="inlineStr">
        <is>
          <t>Bài 27. Thực hành ước lượng và đo độ dài</t>
        </is>
      </c>
      <c r="G204" s="3" t="inlineStr">
        <is>
          <t>Điền đáp án</t>
        </is>
      </c>
      <c r="H204" s="14" t="n">
        <v>3</v>
      </c>
      <c r="I204" s="3" t="inlineStr">
        <is>
          <t>Vận dụng</t>
        </is>
      </c>
      <c r="J204" s="3" t="inlineStr">
        <is>
          <t>Em ước lượng hộp bút dài 18 cm. Đo bằng thước thì hộp bút dài 20 cm. Số đo thật là bao nhiêu xăng-ti-mét? (chỉ viết số)</t>
        </is>
      </c>
      <c r="K204" s="3" t="inlineStr"/>
      <c r="L204" s="3" t="inlineStr">
        <is>
          <t>20</t>
        </is>
      </c>
      <c r="M204" s="3" t="inlineStr">
        <is>
          <t>Số đo bằng thước là số đo thật: 20 cm.</t>
        </is>
      </c>
      <c r="N204" s="3" t="inlineStr">
        <is>
          <t>Ước lượng là đoán gần đúng; đo bằng thước mới cho số đo chính xác. Hộp bút dài 20 cm.</t>
        </is>
      </c>
      <c r="O204" s="14" t="n">
        <v>70</v>
      </c>
      <c r="P204" s="14">
        <f>INDEX(Khung_cap_do!$H$2:$H$6,H204)</f>
        <v/>
      </c>
      <c r="Q204" s="3" t="inlineStr">
        <is>
          <t>T1.HH.06</t>
        </is>
      </c>
      <c r="R204" s="3" t="inlineStr">
        <is>
          <t>TOAN.DODAI</t>
        </is>
      </c>
    </row>
    <row r="205">
      <c r="A205" s="3" t="inlineStr">
        <is>
          <t>toan1-kntt-b27-q5</t>
        </is>
      </c>
      <c r="B205" s="3" t="inlineStr">
        <is>
          <t>Toán</t>
        </is>
      </c>
      <c r="C205" s="3" t="inlineStr">
        <is>
          <t>Kết nối tri thức</t>
        </is>
      </c>
      <c r="D205" s="3" t="inlineStr">
        <is>
          <t>Bài 27</t>
        </is>
      </c>
      <c r="E205" s="3" t="inlineStr">
        <is>
          <t>Chủ đề 7. Độ dài và đo độ dài</t>
        </is>
      </c>
      <c r="F205" s="3" t="inlineStr">
        <is>
          <t>Bài 27. Thực hành ước lượng và đo độ dài</t>
        </is>
      </c>
      <c r="G205" s="3" t="inlineStr">
        <is>
          <t>Chọn đáp án</t>
        </is>
      </c>
      <c r="H205" s="14" t="n">
        <v>2</v>
      </c>
      <c r="I205" s="3" t="inlineStr">
        <is>
          <t>Cơ bản</t>
        </is>
      </c>
      <c r="J205" s="3" t="inlineStr">
        <is>
          <t>Gang tay của em dài khoảng:</t>
        </is>
      </c>
      <c r="K205" s="3" t="inlineStr">
        <is>
          <t>A. 1 cm | B. 10 cm | C. 50 cm</t>
        </is>
      </c>
      <c r="L205" s="3" t="inlineStr">
        <is>
          <t>B</t>
        </is>
      </c>
      <c r="M205" s="3" t="inlineStr">
        <is>
          <t>Gang tay của học sinh lớp 1 dài khoảng 10 cm.</t>
        </is>
      </c>
      <c r="N205" s="3" t="n"/>
      <c r="O205" s="14" t="n">
        <v>40</v>
      </c>
      <c r="P205" s="14">
        <f>INDEX(Khung_cap_do!$H$2:$H$6,H205)</f>
        <v/>
      </c>
      <c r="Q205" s="3" t="inlineStr">
        <is>
          <t>T1.HH.06</t>
        </is>
      </c>
      <c r="R205" s="3" t="inlineStr">
        <is>
          <t>TOAN.DODAI</t>
        </is>
      </c>
    </row>
    <row r="206">
      <c r="A206" s="3" t="inlineStr">
        <is>
          <t>toan1-kntt-b27-q6</t>
        </is>
      </c>
      <c r="B206" s="3" t="inlineStr">
        <is>
          <t>Toán</t>
        </is>
      </c>
      <c r="C206" s="3" t="inlineStr">
        <is>
          <t>Kết nối tri thức</t>
        </is>
      </c>
      <c r="D206" s="3" t="inlineStr">
        <is>
          <t>Bài 27</t>
        </is>
      </c>
      <c r="E206" s="3" t="inlineStr">
        <is>
          <t>Chủ đề 7. Độ dài và đo độ dài</t>
        </is>
      </c>
      <c r="F206" s="3" t="inlineStr">
        <is>
          <t>Bài 27. Thực hành ước lượng và đo độ dài</t>
        </is>
      </c>
      <c r="G206" s="3" t="inlineStr">
        <is>
          <t>Đúng / Sai</t>
        </is>
      </c>
      <c r="H206" s="14" t="n">
        <v>4</v>
      </c>
      <c r="I206" s="3" t="inlineStr">
        <is>
          <t>Thử thách</t>
        </is>
      </c>
      <c r="J206" s="3" t="inlineStr">
        <is>
          <t>Băng giấy đỏ dài 6 cm, băng giấy xanh dài 9 cm. Băng giấy đỏ dài hơn. Đúng hay sai?</t>
        </is>
      </c>
      <c r="K206" s="3" t="inlineStr">
        <is>
          <t>A. Đúng | B. Sai</t>
        </is>
      </c>
      <c r="L206" s="3" t="inlineStr">
        <is>
          <t>B</t>
        </is>
      </c>
      <c r="M206" s="3" t="inlineStr">
        <is>
          <t>6 &lt; 9 nên băng đỏ ngắn hơn.</t>
        </is>
      </c>
      <c r="N206" s="3" t="inlineStr">
        <is>
          <t>So sánh số đo: 6 cm và 9 cm. Vì 6 &lt; 9 nên băng đỏ ngắn hơn băng xanh. Câu đã cho sai.</t>
        </is>
      </c>
      <c r="O206" s="14" t="n">
        <v>70</v>
      </c>
      <c r="P206" s="14">
        <f>INDEX(Khung_cap_do!$H$2:$H$6,H206)</f>
        <v/>
      </c>
      <c r="Q206" s="3" t="inlineStr">
        <is>
          <t>T1.HH.06</t>
        </is>
      </c>
      <c r="R206" s="3" t="inlineStr">
        <is>
          <t>TOAN.DUNGSAI</t>
        </is>
      </c>
    </row>
    <row r="207">
      <c r="A207" s="3" t="inlineStr">
        <is>
          <t>toan1-kntt-b27-q7</t>
        </is>
      </c>
      <c r="B207" s="3" t="inlineStr">
        <is>
          <t>Toán</t>
        </is>
      </c>
      <c r="C207" s="3" t="inlineStr">
        <is>
          <t>Kết nối tri thức</t>
        </is>
      </c>
      <c r="D207" s="3" t="inlineStr">
        <is>
          <t>Bài 27</t>
        </is>
      </c>
      <c r="E207" s="3" t="inlineStr">
        <is>
          <t>Chủ đề 7. Độ dài và đo độ dài</t>
        </is>
      </c>
      <c r="F207" s="3" t="inlineStr">
        <is>
          <t>Bài 27. Thực hành ước lượng và đo độ dài</t>
        </is>
      </c>
      <c r="G207" s="3" t="inlineStr">
        <is>
          <t>Chọn đáp án</t>
        </is>
      </c>
      <c r="H207" s="14" t="n">
        <v>5</v>
      </c>
      <c r="I207" s="3" t="inlineStr">
        <is>
          <t>Mở rộng</t>
        </is>
      </c>
      <c r="J207" s="3" t="inlineStr">
        <is>
          <t>Đường A gồm hai đoạn dài 3 cm và 4 cm. Đường B dài 8 cm. Đường nào ngắn hơn?</t>
        </is>
      </c>
      <c r="K207" s="3" t="inlineStr">
        <is>
          <t>A. Đường A | B. Đường B</t>
        </is>
      </c>
      <c r="L207" s="3" t="inlineStr">
        <is>
          <t>A</t>
        </is>
      </c>
      <c r="M207" s="3" t="inlineStr">
        <is>
          <t>Đường A dài 3 + 4 = 7 cm &lt; 8 cm.</t>
        </is>
      </c>
      <c r="N207" s="3" t="inlineStr">
        <is>
          <t>Độ dài đường A: 3 + 4 = 7 (cm). So sánh 7 cm với 8 cm: 7 &lt; 8. Đường A ngắn hơn.</t>
        </is>
      </c>
      <c r="O207" s="14" t="n">
        <v>85</v>
      </c>
      <c r="P207" s="14">
        <f>INDEX(Khung_cap_do!$H$2:$H$6,H207)</f>
        <v/>
      </c>
      <c r="Q207" s="3" t="inlineStr">
        <is>
          <t>T1.HH.09</t>
        </is>
      </c>
      <c r="R207" s="3" t="inlineStr">
        <is>
          <t>TOAN.DODAI</t>
        </is>
      </c>
    </row>
    <row r="208">
      <c r="A208" s="3" t="inlineStr">
        <is>
          <t>toan1-kntt-b28-q1</t>
        </is>
      </c>
      <c r="B208" s="3" t="inlineStr">
        <is>
          <t>Toán</t>
        </is>
      </c>
      <c r="C208" s="3" t="inlineStr">
        <is>
          <t>Kết nối tri thức</t>
        </is>
      </c>
      <c r="D208" s="3" t="inlineStr">
        <is>
          <t>Bài 28</t>
        </is>
      </c>
      <c r="E208" s="3" t="inlineStr">
        <is>
          <t>Chủ đề 7. Độ dài và đo độ dài</t>
        </is>
      </c>
      <c r="F208" s="3" t="inlineStr">
        <is>
          <t>Bài 28. Luyện tập chung</t>
        </is>
      </c>
      <c r="G208" s="3" t="inlineStr">
        <is>
          <t>Chọn đáp án</t>
        </is>
      </c>
      <c r="H208" s="14" t="n">
        <v>1</v>
      </c>
      <c r="I208" s="3" t="inlineStr">
        <is>
          <t>Làm quen</t>
        </is>
      </c>
      <c r="J208" s="3" t="inlineStr">
        <is>
          <t>Chiếc thước kẻ dài 20 cm, chiếc bút dài 14 cm. Vật nào ngắn hơn?</t>
        </is>
      </c>
      <c r="K208" s="3" t="inlineStr">
        <is>
          <t>A. Thước kẻ | B. Chiếc bút</t>
        </is>
      </c>
      <c r="L208" s="3" t="inlineStr">
        <is>
          <t>B</t>
        </is>
      </c>
      <c r="M208" s="3" t="inlineStr">
        <is>
          <t>14 &lt; 20: chiếc bút ngắn hơn.</t>
        </is>
      </c>
      <c r="N208" s="3" t="n"/>
      <c r="O208" s="14" t="n">
        <v>40</v>
      </c>
      <c r="P208" s="14">
        <f>INDEX(Khung_cap_do!$H$2:$H$6,H208)</f>
        <v/>
      </c>
      <c r="Q208" s="3" t="inlineStr">
        <is>
          <t>T1.HH.05</t>
        </is>
      </c>
      <c r="R208" s="3" t="inlineStr">
        <is>
          <t>TOAN.DODAI</t>
        </is>
      </c>
    </row>
    <row r="209">
      <c r="A209" s="3" t="inlineStr">
        <is>
          <t>toan1-kntt-b28-q2</t>
        </is>
      </c>
      <c r="B209" s="3" t="inlineStr">
        <is>
          <t>Toán</t>
        </is>
      </c>
      <c r="C209" s="3" t="inlineStr">
        <is>
          <t>Kết nối tri thức</t>
        </is>
      </c>
      <c r="D209" s="3" t="inlineStr">
        <is>
          <t>Bài 28</t>
        </is>
      </c>
      <c r="E209" s="3" t="inlineStr">
        <is>
          <t>Chủ đề 7. Độ dài và đo độ dài</t>
        </is>
      </c>
      <c r="F209" s="3" t="inlineStr">
        <is>
          <t>Bài 28. Luyện tập chung</t>
        </is>
      </c>
      <c r="G209" s="3" t="inlineStr">
        <is>
          <t>Chọn đáp án</t>
        </is>
      </c>
      <c r="H209" s="14" t="n">
        <v>2</v>
      </c>
      <c r="I209" s="3" t="inlineStr">
        <is>
          <t>Cơ bản</t>
        </is>
      </c>
      <c r="J209" s="3" t="inlineStr">
        <is>
          <t>Nam cao 98 cm, Mai cao 95 cm, Việt cao 99 cm. Ai cao nhất?</t>
        </is>
      </c>
      <c r="K209" s="3" t="inlineStr">
        <is>
          <t>A. Nam | B. Mai | C. Việt</t>
        </is>
      </c>
      <c r="L209" s="3" t="inlineStr">
        <is>
          <t>C</t>
        </is>
      </c>
      <c r="M209" s="3" t="inlineStr">
        <is>
          <t>99 là số lớn nhất: Việt cao nhất.</t>
        </is>
      </c>
      <c r="N209" s="3" t="n"/>
      <c r="O209" s="14" t="n">
        <v>40</v>
      </c>
      <c r="P209" s="14">
        <f>INDEX(Khung_cap_do!$H$2:$H$6,H209)</f>
        <v/>
      </c>
      <c r="Q209" s="3" t="inlineStr">
        <is>
          <t>T1.HH.05</t>
        </is>
      </c>
      <c r="R209" s="3" t="inlineStr">
        <is>
          <t>TOAN.DODAI</t>
        </is>
      </c>
    </row>
    <row r="210">
      <c r="A210" s="3" t="inlineStr">
        <is>
          <t>toan1-kntt-b28-q3</t>
        </is>
      </c>
      <c r="B210" s="3" t="inlineStr">
        <is>
          <t>Toán</t>
        </is>
      </c>
      <c r="C210" s="3" t="inlineStr">
        <is>
          <t>Kết nối tri thức</t>
        </is>
      </c>
      <c r="D210" s="3" t="inlineStr">
        <is>
          <t>Bài 28</t>
        </is>
      </c>
      <c r="E210" s="3" t="inlineStr">
        <is>
          <t>Chủ đề 7. Độ dài và đo độ dài</t>
        </is>
      </c>
      <c r="F210" s="3" t="inlineStr">
        <is>
          <t>Bài 28. Luyện tập chung</t>
        </is>
      </c>
      <c r="G210" s="3" t="inlineStr">
        <is>
          <t>Điền đáp án</t>
        </is>
      </c>
      <c r="H210" s="14" t="n">
        <v>3</v>
      </c>
      <c r="I210" s="3" t="inlineStr">
        <is>
          <t>Vận dụng</t>
        </is>
      </c>
      <c r="J210" s="3" t="inlineStr">
        <is>
          <t>Que tính dài 5 cm. Hai que tính đặt nối tiếp thẳng hàng dài bao nhiêu xăng-ti-mét? (chỉ viết số)</t>
        </is>
      </c>
      <c r="K210" s="3" t="inlineStr"/>
      <c r="L210" s="3" t="inlineStr">
        <is>
          <t>10</t>
        </is>
      </c>
      <c r="M210" s="3" t="inlineStr">
        <is>
          <t>5 + 5 = 10 cm.</t>
        </is>
      </c>
      <c r="N210" s="3" t="inlineStr">
        <is>
          <t>Hai que đặt nối tiếp thì độ dài cộng lại: 5 + 5 = 10 (cm).</t>
        </is>
      </c>
      <c r="O210" s="14" t="n">
        <v>70</v>
      </c>
      <c r="P210" s="14">
        <f>INDEX(Khung_cap_do!$H$2:$H$6,H210)</f>
        <v/>
      </c>
      <c r="Q210" s="3" t="inlineStr">
        <is>
          <t>T1.HH.09</t>
        </is>
      </c>
      <c r="R210" s="3" t="inlineStr">
        <is>
          <t>TOAN.DODAI</t>
        </is>
      </c>
    </row>
    <row r="211">
      <c r="A211" s="3" t="inlineStr">
        <is>
          <t>toan1-kntt-b28-q4</t>
        </is>
      </c>
      <c r="B211" s="3" t="inlineStr">
        <is>
          <t>Toán</t>
        </is>
      </c>
      <c r="C211" s="3" t="inlineStr">
        <is>
          <t>Kết nối tri thức</t>
        </is>
      </c>
      <c r="D211" s="3" t="inlineStr">
        <is>
          <t>Bài 28</t>
        </is>
      </c>
      <c r="E211" s="3" t="inlineStr">
        <is>
          <t>Chủ đề 7. Độ dài và đo độ dài</t>
        </is>
      </c>
      <c r="F211" s="3" t="inlineStr">
        <is>
          <t>Bài 28. Luyện tập chung</t>
        </is>
      </c>
      <c r="G211" s="3" t="inlineStr">
        <is>
          <t>Chọn đáp án</t>
        </is>
      </c>
      <c r="H211" s="14" t="n">
        <v>2</v>
      </c>
      <c r="I211" s="3" t="inlineStr">
        <is>
          <t>Cơ bản</t>
        </is>
      </c>
      <c r="J211" s="3" t="inlineStr">
        <is>
          <t>Quyển vở Toán dài khoảng:</t>
        </is>
      </c>
      <c r="K211" s="3" t="inlineStr">
        <is>
          <t>A. 2 cm | B. 24 cm | C. 100 cm</t>
        </is>
      </c>
      <c r="L211" s="3" t="inlineStr">
        <is>
          <t>B</t>
        </is>
      </c>
      <c r="M211" s="3" t="inlineStr">
        <is>
          <t>Quyển vở dài khoảng 24 cm.</t>
        </is>
      </c>
      <c r="N211" s="3" t="n"/>
      <c r="O211" s="14" t="n">
        <v>40</v>
      </c>
      <c r="P211" s="14">
        <f>INDEX(Khung_cap_do!$H$2:$H$6,H211)</f>
        <v/>
      </c>
      <c r="Q211" s="3" t="inlineStr">
        <is>
          <t>T1.HH.06</t>
        </is>
      </c>
      <c r="R211" s="3" t="inlineStr">
        <is>
          <t>TOAN.DODAI</t>
        </is>
      </c>
    </row>
    <row r="212">
      <c r="A212" s="3" t="inlineStr">
        <is>
          <t>toan1-kntt-b28-q5</t>
        </is>
      </c>
      <c r="B212" s="3" t="inlineStr">
        <is>
          <t>Toán</t>
        </is>
      </c>
      <c r="C212" s="3" t="inlineStr">
        <is>
          <t>Kết nối tri thức</t>
        </is>
      </c>
      <c r="D212" s="3" t="inlineStr">
        <is>
          <t>Bài 28</t>
        </is>
      </c>
      <c r="E212" s="3" t="inlineStr">
        <is>
          <t>Chủ đề 7. Độ dài và đo độ dài</t>
        </is>
      </c>
      <c r="F212" s="3" t="inlineStr">
        <is>
          <t>Bài 28. Luyện tập chung</t>
        </is>
      </c>
      <c r="G212" s="3" t="inlineStr">
        <is>
          <t>Đúng / Sai</t>
        </is>
      </c>
      <c r="H212" s="14" t="n">
        <v>4</v>
      </c>
      <c r="I212" s="3" t="inlineStr">
        <is>
          <t>Thử thách</t>
        </is>
      </c>
      <c r="J212" s="3" t="inlineStr">
        <is>
          <t>Khi đo, đặt đầu đồ vật ở vạch 1 và đầu kia ở vạch 7 thì đồ vật dài 7 cm. Đúng hay sai?</t>
        </is>
      </c>
      <c r="K212" s="3" t="inlineStr">
        <is>
          <t>A. Đúng | B. Sai</t>
        </is>
      </c>
      <c r="L212" s="3" t="inlineStr">
        <is>
          <t>B</t>
        </is>
      </c>
      <c r="M212" s="3" t="inlineStr">
        <is>
          <t>Phải đặt đầu đồ vật ở vạch 0; đặt ở vạch 1 thì đọc 7 là sai (vật chỉ dài 6 cm).</t>
        </is>
      </c>
      <c r="N212" s="3" t="inlineStr">
        <is>
          <t>Đo đúng là đặt một đầu thẳng vạch 0. Nếu đặt ở vạch 1 thì vật dài từ 1 đến 7, tức là 6 cm, không phải 7 cm.</t>
        </is>
      </c>
      <c r="O212" s="14" t="n">
        <v>70</v>
      </c>
      <c r="P212" s="14">
        <f>INDEX(Khung_cap_do!$H$2:$H$6,H212)</f>
        <v/>
      </c>
      <c r="Q212" s="3" t="inlineStr">
        <is>
          <t>T1.HH.06</t>
        </is>
      </c>
      <c r="R212" s="3" t="inlineStr">
        <is>
          <t>TOAN.DUNGSAI</t>
        </is>
      </c>
    </row>
    <row r="213">
      <c r="A213" s="3" t="inlineStr">
        <is>
          <t>toan1-kntt-b28-q6</t>
        </is>
      </c>
      <c r="B213" s="3" t="inlineStr">
        <is>
          <t>Toán</t>
        </is>
      </c>
      <c r="C213" s="3" t="inlineStr">
        <is>
          <t>Kết nối tri thức</t>
        </is>
      </c>
      <c r="D213" s="3" t="inlineStr">
        <is>
          <t>Bài 28</t>
        </is>
      </c>
      <c r="E213" s="3" t="inlineStr">
        <is>
          <t>Chủ đề 7. Độ dài và đo độ dài</t>
        </is>
      </c>
      <c r="F213" s="3" t="inlineStr">
        <is>
          <t>Bài 28. Luyện tập chung</t>
        </is>
      </c>
      <c r="G213" s="3" t="inlineStr">
        <is>
          <t>Chọn đáp án</t>
        </is>
      </c>
      <c r="H213" s="14" t="n">
        <v>5</v>
      </c>
      <c r="I213" s="3" t="inlineStr">
        <is>
          <t>Mở rộng</t>
        </is>
      </c>
      <c r="J213" s="3" t="inlineStr">
        <is>
          <t>Ba băng giấy: băng A dài 10 cm, băng B dài 8 cm, băng C dài 9 cm. Xếp từ ngắn đến dài thì băng nào đứng giữa?</t>
        </is>
      </c>
      <c r="K213" s="3" t="inlineStr">
        <is>
          <t>A. Băng A | B. Băng B | C. Băng C</t>
        </is>
      </c>
      <c r="L213" s="3" t="inlineStr">
        <is>
          <t>C</t>
        </is>
      </c>
      <c r="M213" s="3" t="inlineStr">
        <is>
          <t>8 cm &lt; 9 cm &lt; 10 cm: B, C, A. Băng C ở giữa.</t>
        </is>
      </c>
      <c r="N213" s="3" t="inlineStr">
        <is>
          <t>Xếp các số đo từ bé đến lớn: 8, 9, 10, tức là băng B, băng C, băng A. Băng đứng giữa là băng C.</t>
        </is>
      </c>
      <c r="O213" s="14" t="n">
        <v>85</v>
      </c>
      <c r="P213" s="14">
        <f>INDEX(Khung_cap_do!$H$2:$H$6,H213)</f>
        <v/>
      </c>
      <c r="Q213" s="3" t="inlineStr">
        <is>
          <t>T1.HH.05</t>
        </is>
      </c>
      <c r="R213" s="3" t="inlineStr">
        <is>
          <t>TOAN.DODAI</t>
        </is>
      </c>
    </row>
    <row r="214">
      <c r="A214" s="3" t="inlineStr">
        <is>
          <t>toan1-kntt-b29-q1</t>
        </is>
      </c>
      <c r="B214" s="3" t="inlineStr">
        <is>
          <t>Toán</t>
        </is>
      </c>
      <c r="C214" s="3" t="inlineStr">
        <is>
          <t>Kết nối tri thức</t>
        </is>
      </c>
      <c r="D214" s="3" t="inlineStr">
        <is>
          <t>Bài 29</t>
        </is>
      </c>
      <c r="E214" s="3" t="inlineStr">
        <is>
          <t>Chủ đề 8. Phép cộng, phép trừ (không nhớ) trong phạm vi 100</t>
        </is>
      </c>
      <c r="F214" s="3" t="inlineStr">
        <is>
          <t>Bài 29. Phép cộng số có hai chữ số với số có một chữ số</t>
        </is>
      </c>
      <c r="G214" s="3" t="inlineStr">
        <is>
          <t>Điền đáp án</t>
        </is>
      </c>
      <c r="H214" s="14" t="n">
        <v>1</v>
      </c>
      <c r="I214" s="3" t="inlineStr">
        <is>
          <t>Làm quen</t>
        </is>
      </c>
      <c r="J214" s="3" t="inlineStr">
        <is>
          <t>41 + 5 = ...</t>
        </is>
      </c>
      <c r="K214" s="3" t="inlineStr"/>
      <c r="L214" s="3" t="inlineStr">
        <is>
          <t>46</t>
        </is>
      </c>
      <c r="M214" s="3" t="inlineStr">
        <is>
          <t>1 cộng 5 bằng 6, viết 6; hạ 4. Được 46.</t>
        </is>
      </c>
      <c r="N214" s="3" t="n"/>
      <c r="O214" s="14" t="n">
        <v>40</v>
      </c>
      <c r="P214" s="14">
        <f>INDEX(Khung_cap_do!$H$2:$H$6,H214)</f>
        <v/>
      </c>
      <c r="Q214" s="3" t="inlineStr">
        <is>
          <t>T1.PT.04</t>
        </is>
      </c>
      <c r="R214" s="3" t="inlineStr">
        <is>
          <t>TOAN.TINH</t>
        </is>
      </c>
    </row>
    <row r="215">
      <c r="A215" s="3" t="inlineStr">
        <is>
          <t>toan1-kntt-b29-q2</t>
        </is>
      </c>
      <c r="B215" s="3" t="inlineStr">
        <is>
          <t>Toán</t>
        </is>
      </c>
      <c r="C215" s="3" t="inlineStr">
        <is>
          <t>Kết nối tri thức</t>
        </is>
      </c>
      <c r="D215" s="3" t="inlineStr">
        <is>
          <t>Bài 29</t>
        </is>
      </c>
      <c r="E215" s="3" t="inlineStr">
        <is>
          <t>Chủ đề 8. Phép cộng, phép trừ (không nhớ) trong phạm vi 100</t>
        </is>
      </c>
      <c r="F215" s="3" t="inlineStr">
        <is>
          <t>Bài 29. Phép cộng số có hai chữ số với số có một chữ số</t>
        </is>
      </c>
      <c r="G215" s="3" t="inlineStr">
        <is>
          <t>Điền đáp án</t>
        </is>
      </c>
      <c r="H215" s="14" t="n">
        <v>1</v>
      </c>
      <c r="I215" s="3" t="inlineStr">
        <is>
          <t>Làm quen</t>
        </is>
      </c>
      <c r="J215" s="3" t="inlineStr">
        <is>
          <t>20 + 4 = ...</t>
        </is>
      </c>
      <c r="K215" s="3" t="inlineStr"/>
      <c r="L215" s="3" t="inlineStr">
        <is>
          <t>24</t>
        </is>
      </c>
      <c r="M215" s="3" t="inlineStr">
        <is>
          <t>2 chục và 4 đơn vị: 24.</t>
        </is>
      </c>
      <c r="N215" s="3" t="n"/>
      <c r="O215" s="14" t="n">
        <v>40</v>
      </c>
      <c r="P215" s="14">
        <f>INDEX(Khung_cap_do!$H$2:$H$6,H215)</f>
        <v/>
      </c>
      <c r="Q215" s="3" t="inlineStr">
        <is>
          <t>T1.PT.04</t>
        </is>
      </c>
      <c r="R215" s="3" t="inlineStr">
        <is>
          <t>TOAN.TINH</t>
        </is>
      </c>
    </row>
    <row r="216">
      <c r="A216" s="3" t="inlineStr">
        <is>
          <t>toan1-kntt-b29-q3</t>
        </is>
      </c>
      <c r="B216" s="3" t="inlineStr">
        <is>
          <t>Toán</t>
        </is>
      </c>
      <c r="C216" s="3" t="inlineStr">
        <is>
          <t>Kết nối tri thức</t>
        </is>
      </c>
      <c r="D216" s="3" t="inlineStr">
        <is>
          <t>Bài 29</t>
        </is>
      </c>
      <c r="E216" s="3" t="inlineStr">
        <is>
          <t>Chủ đề 8. Phép cộng, phép trừ (không nhớ) trong phạm vi 100</t>
        </is>
      </c>
      <c r="F216" s="3" t="inlineStr">
        <is>
          <t>Bài 29. Phép cộng số có hai chữ số với số có một chữ số</t>
        </is>
      </c>
      <c r="G216" s="3" t="inlineStr">
        <is>
          <t>Chọn đáp án</t>
        </is>
      </c>
      <c r="H216" s="14" t="n">
        <v>2</v>
      </c>
      <c r="I216" s="3" t="inlineStr">
        <is>
          <t>Cơ bản</t>
        </is>
      </c>
      <c r="J216" s="3" t="inlineStr">
        <is>
          <t>73 + 6 = ?</t>
        </is>
      </c>
      <c r="K216" s="3" t="inlineStr">
        <is>
          <t>A. 79 | B. 13 | C. 78 | D. 97</t>
        </is>
      </c>
      <c r="L216" s="3" t="inlineStr">
        <is>
          <t>A</t>
        </is>
      </c>
      <c r="M216" s="3" t="inlineStr">
        <is>
          <t>3 + 6 = 9, hạ 7: 79.</t>
        </is>
      </c>
      <c r="N216" s="3" t="n"/>
      <c r="O216" s="14" t="n">
        <v>40</v>
      </c>
      <c r="P216" s="14">
        <f>INDEX(Khung_cap_do!$H$2:$H$6,H216)</f>
        <v/>
      </c>
      <c r="Q216" s="3" t="inlineStr">
        <is>
          <t>T1.PT.04</t>
        </is>
      </c>
      <c r="R216" s="3" t="inlineStr">
        <is>
          <t>TOAN.TINH</t>
        </is>
      </c>
    </row>
    <row r="217">
      <c r="A217" s="3" t="inlineStr">
        <is>
          <t>toan1-kntt-b29-q4</t>
        </is>
      </c>
      <c r="B217" s="3" t="inlineStr">
        <is>
          <t>Toán</t>
        </is>
      </c>
      <c r="C217" s="3" t="inlineStr">
        <is>
          <t>Kết nối tri thức</t>
        </is>
      </c>
      <c r="D217" s="3" t="inlineStr">
        <is>
          <t>Bài 29</t>
        </is>
      </c>
      <c r="E217" s="3" t="inlineStr">
        <is>
          <t>Chủ đề 8. Phép cộng, phép trừ (không nhớ) trong phạm vi 100</t>
        </is>
      </c>
      <c r="F217" s="3" t="inlineStr">
        <is>
          <t>Bài 29. Phép cộng số có hai chữ số với số có một chữ số</t>
        </is>
      </c>
      <c r="G217" s="3" t="inlineStr">
        <is>
          <t>Điền đáp án</t>
        </is>
      </c>
      <c r="H217" s="14" t="n">
        <v>2</v>
      </c>
      <c r="I217" s="3" t="inlineStr">
        <is>
          <t>Cơ bản</t>
        </is>
      </c>
      <c r="J217" s="3" t="inlineStr">
        <is>
          <t>Tính: 94 + 4 = ...</t>
        </is>
      </c>
      <c r="K217" s="3" t="inlineStr"/>
      <c r="L217" s="3" t="inlineStr">
        <is>
          <t>98</t>
        </is>
      </c>
      <c r="M217" s="3" t="inlineStr">
        <is>
          <t>Đặt tính: 4 + 4 = 8, viết 8; hạ 9. Được 98.</t>
        </is>
      </c>
      <c r="N217" s="3" t="n"/>
      <c r="O217" s="14" t="n">
        <v>50</v>
      </c>
      <c r="P217" s="14">
        <f>INDEX(Khung_cap_do!$H$2:$H$6,H217)</f>
        <v/>
      </c>
      <c r="Q217" s="3" t="inlineStr">
        <is>
          <t>T1.PT.04</t>
        </is>
      </c>
      <c r="R217" s="3" t="inlineStr">
        <is>
          <t>TOAN.TINH</t>
        </is>
      </c>
    </row>
    <row r="218">
      <c r="A218" s="3" t="inlineStr">
        <is>
          <t>toan1-kntt-b29-q5</t>
        </is>
      </c>
      <c r="B218" s="3" t="inlineStr">
        <is>
          <t>Toán</t>
        </is>
      </c>
      <c r="C218" s="3" t="inlineStr">
        <is>
          <t>Kết nối tri thức</t>
        </is>
      </c>
      <c r="D218" s="3" t="inlineStr">
        <is>
          <t>Bài 29</t>
        </is>
      </c>
      <c r="E218" s="3" t="inlineStr">
        <is>
          <t>Chủ đề 8. Phép cộng, phép trừ (không nhớ) trong phạm vi 100</t>
        </is>
      </c>
      <c r="F218" s="3" t="inlineStr">
        <is>
          <t>Bài 29. Phép cộng số có hai chữ số với số có một chữ số</t>
        </is>
      </c>
      <c r="G218" s="3" t="inlineStr">
        <is>
          <t>Điền đáp án</t>
        </is>
      </c>
      <c r="H218" s="14" t="n">
        <v>3</v>
      </c>
      <c r="I218" s="3" t="inlineStr">
        <is>
          <t>Vận dụng</t>
        </is>
      </c>
      <c r="J218" s="3" t="inlineStr">
        <is>
          <t>Bạn Mai gấp được 25 chiếc thuyền giấy, em Mi gấp được 3 chiếc. Hai chị em gấp được bao nhiêu chiếc thuyền?</t>
        </is>
      </c>
      <c r="K218" s="3" t="inlineStr"/>
      <c r="L218" s="3" t="inlineStr">
        <is>
          <t>28</t>
        </is>
      </c>
      <c r="M218" s="3" t="inlineStr">
        <is>
          <t>25 + 3 = 28 chiếc thuyền.</t>
        </is>
      </c>
      <c r="N218" s="3" t="inlineStr">
        <is>
          <t>"Hai chị em gấp được bao nhiêu" là gộp lại: 25 + 3 = 28. Hai chị em gấp được 28 chiếc thuyền.</t>
        </is>
      </c>
      <c r="O218" s="14" t="n">
        <v>70</v>
      </c>
      <c r="P218" s="14">
        <f>INDEX(Khung_cap_do!$H$2:$H$6,H218)</f>
        <v/>
      </c>
      <c r="Q218" s="3" t="inlineStr">
        <is>
          <t>T1.PT.07</t>
        </is>
      </c>
      <c r="R218" s="3" t="inlineStr">
        <is>
          <t>TOAN.LOIVAN</t>
        </is>
      </c>
    </row>
    <row r="219">
      <c r="A219" s="3" t="inlineStr">
        <is>
          <t>toan1-kntt-b29-q6</t>
        </is>
      </c>
      <c r="B219" s="3" t="inlineStr">
        <is>
          <t>Toán</t>
        </is>
      </c>
      <c r="C219" s="3" t="inlineStr">
        <is>
          <t>Kết nối tri thức</t>
        </is>
      </c>
      <c r="D219" s="3" t="inlineStr">
        <is>
          <t>Bài 29</t>
        </is>
      </c>
      <c r="E219" s="3" t="inlineStr">
        <is>
          <t>Chủ đề 8. Phép cộng, phép trừ (không nhớ) trong phạm vi 100</t>
        </is>
      </c>
      <c r="F219" s="3" t="inlineStr">
        <is>
          <t>Bài 29. Phép cộng số có hai chữ số với số có một chữ số</t>
        </is>
      </c>
      <c r="G219" s="3" t="inlineStr">
        <is>
          <t>Đúng / Sai</t>
        </is>
      </c>
      <c r="H219" s="14" t="n">
        <v>3</v>
      </c>
      <c r="I219" s="3" t="inlineStr">
        <is>
          <t>Vận dụng</t>
        </is>
      </c>
      <c r="J219" s="3" t="inlineStr">
        <is>
          <t>62 + 5 = 67. Đúng hay sai?</t>
        </is>
      </c>
      <c r="K219" s="3" t="inlineStr">
        <is>
          <t>A. Đúng | B. Sai</t>
        </is>
      </c>
      <c r="L219" s="3" t="inlineStr">
        <is>
          <t>A</t>
        </is>
      </c>
      <c r="M219" s="3" t="inlineStr">
        <is>
          <t>2 + 5 = 7, hạ 6: 67.</t>
        </is>
      </c>
      <c r="N219" s="3" t="inlineStr">
        <is>
          <t>Đặt tính thẳng cột: đơn vị 2 + 5 = 7, chục hạ 6. Kết quả 67, câu đúng.</t>
        </is>
      </c>
      <c r="O219" s="14" t="n">
        <v>50</v>
      </c>
      <c r="P219" s="14">
        <f>INDEX(Khung_cap_do!$H$2:$H$6,H219)</f>
        <v/>
      </c>
      <c r="Q219" s="3" t="inlineStr">
        <is>
          <t>T1.PT.04</t>
        </is>
      </c>
      <c r="R219" s="3" t="inlineStr">
        <is>
          <t>TOAN.DUNGSAI</t>
        </is>
      </c>
    </row>
    <row r="220">
      <c r="A220" s="3" t="inlineStr">
        <is>
          <t>toan1-kntt-b29-q7</t>
        </is>
      </c>
      <c r="B220" s="3" t="inlineStr">
        <is>
          <t>Toán</t>
        </is>
      </c>
      <c r="C220" s="3" t="inlineStr">
        <is>
          <t>Kết nối tri thức</t>
        </is>
      </c>
      <c r="D220" s="3" t="inlineStr">
        <is>
          <t>Bài 29</t>
        </is>
      </c>
      <c r="E220" s="3" t="inlineStr">
        <is>
          <t>Chủ đề 8. Phép cộng, phép trừ (không nhớ) trong phạm vi 100</t>
        </is>
      </c>
      <c r="F220" s="3" t="inlineStr">
        <is>
          <t>Bài 29. Phép cộng số có hai chữ số với số có một chữ số</t>
        </is>
      </c>
      <c r="G220" s="3" t="inlineStr">
        <is>
          <t>Điền đáp án</t>
        </is>
      </c>
      <c r="H220" s="14" t="n">
        <v>4</v>
      </c>
      <c r="I220" s="3" t="inlineStr">
        <is>
          <t>Thử thách</t>
        </is>
      </c>
      <c r="J220" s="3" t="inlineStr">
        <is>
          <t>Lá sen chở được 17 chú ếch. Trên lá đang có 14 chú ếch. Còn lên được thêm mấy chú ếch nữa?</t>
        </is>
      </c>
      <c r="K220" s="3" t="inlineStr"/>
      <c r="L220" s="3" t="inlineStr">
        <is>
          <t>3</t>
        </is>
      </c>
      <c r="M220" s="3" t="inlineStr">
        <is>
          <t>14 + 3 = 17: còn lên được 3 chú ếch.</t>
        </is>
      </c>
      <c r="N220" s="3" t="inlineStr">
        <is>
          <t>Cần tìm số cộng với 14 để được 17: 14 + ... = 17. Vì 4 + 3 = 7 nên số cần tìm là 3.</t>
        </is>
      </c>
      <c r="O220" s="14" t="n">
        <v>80</v>
      </c>
      <c r="P220" s="14">
        <f>INDEX(Khung_cap_do!$H$2:$H$6,H220)</f>
        <v/>
      </c>
      <c r="Q220" s="3" t="inlineStr">
        <is>
          <t>T1.PT.07</t>
        </is>
      </c>
      <c r="R220" s="3" t="inlineStr">
        <is>
          <t>TOAN.SOTHIEU</t>
        </is>
      </c>
    </row>
    <row r="221">
      <c r="A221" s="3" t="inlineStr">
        <is>
          <t>toan1-kntt-b29-q8</t>
        </is>
      </c>
      <c r="B221" s="3" t="inlineStr">
        <is>
          <t>Toán</t>
        </is>
      </c>
      <c r="C221" s="3" t="inlineStr">
        <is>
          <t>Kết nối tri thức</t>
        </is>
      </c>
      <c r="D221" s="3" t="inlineStr">
        <is>
          <t>Bài 29</t>
        </is>
      </c>
      <c r="E221" s="3" t="inlineStr">
        <is>
          <t>Chủ đề 8. Phép cộng, phép trừ (không nhớ) trong phạm vi 100</t>
        </is>
      </c>
      <c r="F221" s="3" t="inlineStr">
        <is>
          <t>Bài 29. Phép cộng số có hai chữ số với số có một chữ số</t>
        </is>
      </c>
      <c r="G221" s="3" t="inlineStr">
        <is>
          <t>Điền đáp án</t>
        </is>
      </c>
      <c r="H221" s="14" t="n">
        <v>5</v>
      </c>
      <c r="I221" s="3" t="inlineStr">
        <is>
          <t>Mở rộng</t>
        </is>
      </c>
      <c r="J221" s="3" t="inlineStr">
        <is>
          <t>Tính: 30 + 5 + 2 = ...</t>
        </is>
      </c>
      <c r="K221" s="3" t="inlineStr"/>
      <c r="L221" s="3" t="inlineStr">
        <is>
          <t>37</t>
        </is>
      </c>
      <c r="M221" s="3" t="inlineStr">
        <is>
          <t>30 + 5 = 35; 35 + 2 = 37.</t>
        </is>
      </c>
      <c r="N221" s="3" t="inlineStr">
        <is>
          <t>Tính lần lượt từ trái sang phải: 30 + 5 = 35, rồi 35 + 2 = 37.</t>
        </is>
      </c>
      <c r="O221" s="14" t="n">
        <v>85</v>
      </c>
      <c r="P221" s="14">
        <f>INDEX(Khung_cap_do!$H$2:$H$6,H221)</f>
        <v/>
      </c>
      <c r="Q221" s="3" t="inlineStr">
        <is>
          <t>T1.PT.06</t>
        </is>
      </c>
      <c r="R221" s="3" t="inlineStr">
        <is>
          <t>TOAN.TINH</t>
        </is>
      </c>
    </row>
    <row r="222">
      <c r="A222" s="3" t="inlineStr">
        <is>
          <t>toan1-kntt-b30-q1</t>
        </is>
      </c>
      <c r="B222" s="3" t="inlineStr">
        <is>
          <t>Toán</t>
        </is>
      </c>
      <c r="C222" s="3" t="inlineStr">
        <is>
          <t>Kết nối tri thức</t>
        </is>
      </c>
      <c r="D222" s="3" t="inlineStr">
        <is>
          <t>Bài 30</t>
        </is>
      </c>
      <c r="E222" s="3" t="inlineStr">
        <is>
          <t>Chủ đề 8. Phép cộng, phép trừ (không nhớ) trong phạm vi 100</t>
        </is>
      </c>
      <c r="F222" s="3" t="inlineStr">
        <is>
          <t>Bài 30. Phép cộng số có hai chữ số với số có hai chữ số</t>
        </is>
      </c>
      <c r="G222" s="3" t="inlineStr">
        <is>
          <t>Điền đáp án</t>
        </is>
      </c>
      <c r="H222" s="14" t="n">
        <v>1</v>
      </c>
      <c r="I222" s="3" t="inlineStr">
        <is>
          <t>Làm quen</t>
        </is>
      </c>
      <c r="J222" s="3" t="inlineStr">
        <is>
          <t>32 + 15 = ...</t>
        </is>
      </c>
      <c r="K222" s="3" t="inlineStr"/>
      <c r="L222" s="3" t="inlineStr">
        <is>
          <t>47</t>
        </is>
      </c>
      <c r="M222" s="3" t="inlineStr">
        <is>
          <t>2 + 5 = 7; 3 + 1 = 4. Được 47.</t>
        </is>
      </c>
      <c r="N222" s="3" t="n"/>
      <c r="O222" s="14" t="n">
        <v>40</v>
      </c>
      <c r="P222" s="14">
        <f>INDEX(Khung_cap_do!$H$2:$H$6,H222)</f>
        <v/>
      </c>
      <c r="Q222" s="3" t="inlineStr">
        <is>
          <t>T1.PT.04</t>
        </is>
      </c>
      <c r="R222" s="3" t="inlineStr">
        <is>
          <t>TOAN.TINH</t>
        </is>
      </c>
    </row>
    <row r="223">
      <c r="A223" s="3" t="inlineStr">
        <is>
          <t>toan1-kntt-b30-q2</t>
        </is>
      </c>
      <c r="B223" s="3" t="inlineStr">
        <is>
          <t>Toán</t>
        </is>
      </c>
      <c r="C223" s="3" t="inlineStr">
        <is>
          <t>Kết nối tri thức</t>
        </is>
      </c>
      <c r="D223" s="3" t="inlineStr">
        <is>
          <t>Bài 30</t>
        </is>
      </c>
      <c r="E223" s="3" t="inlineStr">
        <is>
          <t>Chủ đề 8. Phép cộng, phép trừ (không nhớ) trong phạm vi 100</t>
        </is>
      </c>
      <c r="F223" s="3" t="inlineStr">
        <is>
          <t>Bài 30. Phép cộng số có hai chữ số với số có hai chữ số</t>
        </is>
      </c>
      <c r="G223" s="3" t="inlineStr">
        <is>
          <t>Điền đáp án</t>
        </is>
      </c>
      <c r="H223" s="14" t="n">
        <v>1</v>
      </c>
      <c r="I223" s="3" t="inlineStr">
        <is>
          <t>Làm quen</t>
        </is>
      </c>
      <c r="J223" s="3" t="inlineStr">
        <is>
          <t>Tính nhẩm: 30 + 20 = ...</t>
        </is>
      </c>
      <c r="K223" s="3" t="inlineStr"/>
      <c r="L223" s="3" t="inlineStr">
        <is>
          <t>50</t>
        </is>
      </c>
      <c r="M223" s="3" t="inlineStr">
        <is>
          <t>3 chục + 2 chục = 5 chục: 50.</t>
        </is>
      </c>
      <c r="N223" s="3" t="n"/>
      <c r="O223" s="14" t="n">
        <v>40</v>
      </c>
      <c r="P223" s="14">
        <f>INDEX(Khung_cap_do!$H$2:$H$6,H223)</f>
        <v/>
      </c>
      <c r="Q223" s="3" t="inlineStr">
        <is>
          <t>T1.PT.05</t>
        </is>
      </c>
      <c r="R223" s="3" t="inlineStr">
        <is>
          <t>TOAN.TINH</t>
        </is>
      </c>
    </row>
    <row r="224">
      <c r="A224" s="3" t="inlineStr">
        <is>
          <t>toan1-kntt-b30-q3</t>
        </is>
      </c>
      <c r="B224" s="3" t="inlineStr">
        <is>
          <t>Toán</t>
        </is>
      </c>
      <c r="C224" s="3" t="inlineStr">
        <is>
          <t>Kết nối tri thức</t>
        </is>
      </c>
      <c r="D224" s="3" t="inlineStr">
        <is>
          <t>Bài 30</t>
        </is>
      </c>
      <c r="E224" s="3" t="inlineStr">
        <is>
          <t>Chủ đề 8. Phép cộng, phép trừ (không nhớ) trong phạm vi 100</t>
        </is>
      </c>
      <c r="F224" s="3" t="inlineStr">
        <is>
          <t>Bài 30. Phép cộng số có hai chữ số với số có hai chữ số</t>
        </is>
      </c>
      <c r="G224" s="3" t="inlineStr">
        <is>
          <t>Chọn đáp án</t>
        </is>
      </c>
      <c r="H224" s="14" t="n">
        <v>2</v>
      </c>
      <c r="I224" s="3" t="inlineStr">
        <is>
          <t>Cơ bản</t>
        </is>
      </c>
      <c r="J224" s="3" t="inlineStr">
        <is>
          <t>24 + 30 = ?</t>
        </is>
      </c>
      <c r="K224" s="3" t="inlineStr">
        <is>
          <t>A. 27 | B. 54 | C. 64</t>
        </is>
      </c>
      <c r="L224" s="3" t="inlineStr">
        <is>
          <t>B</t>
        </is>
      </c>
      <c r="M224" s="3" t="inlineStr">
        <is>
          <t>4 + 0 = 4; 2 + 3 = 5. Được 54.</t>
        </is>
      </c>
      <c r="N224" s="3" t="n"/>
      <c r="O224" s="14" t="n">
        <v>40</v>
      </c>
      <c r="P224" s="14">
        <f>INDEX(Khung_cap_do!$H$2:$H$6,H224)</f>
        <v/>
      </c>
      <c r="Q224" s="3" t="inlineStr">
        <is>
          <t>T1.PT.04</t>
        </is>
      </c>
      <c r="R224" s="3" t="inlineStr">
        <is>
          <t>TOAN.TINH</t>
        </is>
      </c>
    </row>
    <row r="225">
      <c r="A225" s="3" t="inlineStr">
        <is>
          <t>toan1-kntt-b30-q4</t>
        </is>
      </c>
      <c r="B225" s="3" t="inlineStr">
        <is>
          <t>Toán</t>
        </is>
      </c>
      <c r="C225" s="3" t="inlineStr">
        <is>
          <t>Kết nối tri thức</t>
        </is>
      </c>
      <c r="D225" s="3" t="inlineStr">
        <is>
          <t>Bài 30</t>
        </is>
      </c>
      <c r="E225" s="3" t="inlineStr">
        <is>
          <t>Chủ đề 8. Phép cộng, phép trừ (không nhớ) trong phạm vi 100</t>
        </is>
      </c>
      <c r="F225" s="3" t="inlineStr">
        <is>
          <t>Bài 30. Phép cộng số có hai chữ số với số có hai chữ số</t>
        </is>
      </c>
      <c r="G225" s="3" t="inlineStr">
        <is>
          <t>Điền đáp án</t>
        </is>
      </c>
      <c r="H225" s="14" t="n">
        <v>2</v>
      </c>
      <c r="I225" s="3" t="inlineStr">
        <is>
          <t>Cơ bản</t>
        </is>
      </c>
      <c r="J225" s="3" t="inlineStr">
        <is>
          <t>Đặt tính rồi tính: 13 + 21 = ...</t>
        </is>
      </c>
      <c r="K225" s="3" t="inlineStr"/>
      <c r="L225" s="3" t="inlineStr">
        <is>
          <t>34</t>
        </is>
      </c>
      <c r="M225" s="3" t="inlineStr">
        <is>
          <t>3 + 1 = 4; 1 + 2 = 3. Được 34.</t>
        </is>
      </c>
      <c r="N225" s="3" t="n"/>
      <c r="O225" s="14" t="n">
        <v>50</v>
      </c>
      <c r="P225" s="14">
        <f>INDEX(Khung_cap_do!$H$2:$H$6,H225)</f>
        <v/>
      </c>
      <c r="Q225" s="3" t="inlineStr">
        <is>
          <t>T1.PT.04</t>
        </is>
      </c>
      <c r="R225" s="3" t="inlineStr">
        <is>
          <t>TOAN.TINH</t>
        </is>
      </c>
    </row>
    <row r="226">
      <c r="A226" s="3" t="inlineStr">
        <is>
          <t>toan1-kntt-b30-q5</t>
        </is>
      </c>
      <c r="B226" s="3" t="inlineStr">
        <is>
          <t>Toán</t>
        </is>
      </c>
      <c r="C226" s="3" t="inlineStr">
        <is>
          <t>Kết nối tri thức</t>
        </is>
      </c>
      <c r="D226" s="3" t="inlineStr">
        <is>
          <t>Bài 30</t>
        </is>
      </c>
      <c r="E226" s="3" t="inlineStr">
        <is>
          <t>Chủ đề 8. Phép cộng, phép trừ (không nhớ) trong phạm vi 100</t>
        </is>
      </c>
      <c r="F226" s="3" t="inlineStr">
        <is>
          <t>Bài 30. Phép cộng số có hai chữ số với số có hai chữ số</t>
        </is>
      </c>
      <c r="G226" s="3" t="inlineStr">
        <is>
          <t>Điền đáp án</t>
        </is>
      </c>
      <c r="H226" s="14" t="n">
        <v>3</v>
      </c>
      <c r="I226" s="3" t="inlineStr">
        <is>
          <t>Vận dụng</t>
        </is>
      </c>
      <c r="J226" s="3" t="inlineStr">
        <is>
          <t>Trên cây có 15 con chim. Có thêm 24 con chim bay đến. Hỏi trên cây có tất cả bao nhiêu con chim?</t>
        </is>
      </c>
      <c r="K226" s="3" t="inlineStr"/>
      <c r="L226" s="3" t="inlineStr">
        <is>
          <t>39</t>
        </is>
      </c>
      <c r="M226" s="3" t="inlineStr">
        <is>
          <t>15 + 24 = 39 con chim.</t>
        </is>
      </c>
      <c r="N226" s="3" t="inlineStr">
        <is>
          <t>"Có thêm … bay đến", "có tất cả" là gộp lại: 15 + 24 = 39. Trên cây có 39 con chim.</t>
        </is>
      </c>
      <c r="O226" s="14" t="n">
        <v>70</v>
      </c>
      <c r="P226" s="14">
        <f>INDEX(Khung_cap_do!$H$2:$H$6,H226)</f>
        <v/>
      </c>
      <c r="Q226" s="3" t="inlineStr">
        <is>
          <t>T1.PT.07</t>
        </is>
      </c>
      <c r="R226" s="3" t="inlineStr">
        <is>
          <t>TOAN.LOIVAN</t>
        </is>
      </c>
    </row>
    <row r="227">
      <c r="A227" s="3" t="inlineStr">
        <is>
          <t>toan1-kntt-b30-q6</t>
        </is>
      </c>
      <c r="B227" s="3" t="inlineStr">
        <is>
          <t>Toán</t>
        </is>
      </c>
      <c r="C227" s="3" t="inlineStr">
        <is>
          <t>Kết nối tri thức</t>
        </is>
      </c>
      <c r="D227" s="3" t="inlineStr">
        <is>
          <t>Bài 30</t>
        </is>
      </c>
      <c r="E227" s="3" t="inlineStr">
        <is>
          <t>Chủ đề 8. Phép cộng, phép trừ (không nhớ) trong phạm vi 100</t>
        </is>
      </c>
      <c r="F227" s="3" t="inlineStr">
        <is>
          <t>Bài 30. Phép cộng số có hai chữ số với số có hai chữ số</t>
        </is>
      </c>
      <c r="G227" s="3" t="inlineStr">
        <is>
          <t>Chọn đáp án</t>
        </is>
      </c>
      <c r="H227" s="14" t="n">
        <v>4</v>
      </c>
      <c r="I227" s="3" t="inlineStr">
        <is>
          <t>Thử thách</t>
        </is>
      </c>
      <c r="J227" s="3" t="inlineStr">
        <is>
          <t>Phép tính nào có kết quả lớn nhất?</t>
        </is>
      </c>
      <c r="K227" s="3" t="inlineStr">
        <is>
          <t>A. 2 + 40 | B. 80 + 3 | C. 70 + 10</t>
        </is>
      </c>
      <c r="L227" s="3" t="inlineStr">
        <is>
          <t>B</t>
        </is>
      </c>
      <c r="M227" s="3" t="inlineStr">
        <is>
          <t>2 + 40 = 42; 80 + 3 = 83; 70 + 10 = 80. Lớn nhất là 83.</t>
        </is>
      </c>
      <c r="N227" s="3" t="inlineStr">
        <is>
          <t>Tính từng phép tính: 42, 83, 80. So sánh: 83 lớn nhất, đó là 80 + 3.</t>
        </is>
      </c>
      <c r="O227" s="14" t="n">
        <v>60</v>
      </c>
      <c r="P227" s="14">
        <f>INDEX(Khung_cap_do!$H$2:$H$6,H227)</f>
        <v/>
      </c>
      <c r="Q227" s="3" t="inlineStr">
        <is>
          <t>T1.PT.04</t>
        </is>
      </c>
      <c r="R227" s="3" t="inlineStr">
        <is>
          <t>TOAN.SOSANH</t>
        </is>
      </c>
    </row>
    <row r="228">
      <c r="A228" s="3" t="inlineStr">
        <is>
          <t>toan1-kntt-b30-q7</t>
        </is>
      </c>
      <c r="B228" s="3" t="inlineStr">
        <is>
          <t>Toán</t>
        </is>
      </c>
      <c r="C228" s="3" t="inlineStr">
        <is>
          <t>Kết nối tri thức</t>
        </is>
      </c>
      <c r="D228" s="3" t="inlineStr">
        <is>
          <t>Bài 30</t>
        </is>
      </c>
      <c r="E228" s="3" t="inlineStr">
        <is>
          <t>Chủ đề 8. Phép cộng, phép trừ (không nhớ) trong phạm vi 100</t>
        </is>
      </c>
      <c r="F228" s="3" t="inlineStr">
        <is>
          <t>Bài 30. Phép cộng số có hai chữ số với số có hai chữ số</t>
        </is>
      </c>
      <c r="G228" s="3" t="inlineStr">
        <is>
          <t>Điền đáp án</t>
        </is>
      </c>
      <c r="H228" s="14" t="n">
        <v>4</v>
      </c>
      <c r="I228" s="3" t="inlineStr">
        <is>
          <t>Thử thách</t>
        </is>
      </c>
      <c r="J228" s="3" t="inlineStr">
        <is>
          <t>Tìm số còn thiếu: 23 + ... = 55</t>
        </is>
      </c>
      <c r="K228" s="3" t="inlineStr"/>
      <c r="L228" s="3" t="inlineStr">
        <is>
          <t>32</t>
        </is>
      </c>
      <c r="M228" s="3" t="inlineStr">
        <is>
          <t>23 + 32 = 55.</t>
        </is>
      </c>
      <c r="N228" s="3" t="inlineStr">
        <is>
          <t>Hàng đơn vị: 3 + ? = 5, nên đơn vị là 2. Hàng chục: 2 + ? = 5, nên chục là 3. Số cần tìm là 32.</t>
        </is>
      </c>
      <c r="O228" s="14" t="n">
        <v>70</v>
      </c>
      <c r="P228" s="14">
        <f>INDEX(Khung_cap_do!$H$2:$H$6,H228)</f>
        <v/>
      </c>
      <c r="Q228" s="3" t="inlineStr">
        <is>
          <t>T1.PT.04</t>
        </is>
      </c>
      <c r="R228" s="3" t="inlineStr">
        <is>
          <t>TOAN.SOTHIEU</t>
        </is>
      </c>
    </row>
    <row r="229">
      <c r="A229" s="3" t="inlineStr">
        <is>
          <t>toan1-kntt-b30-q8</t>
        </is>
      </c>
      <c r="B229" s="3" t="inlineStr">
        <is>
          <t>Toán</t>
        </is>
      </c>
      <c r="C229" s="3" t="inlineStr">
        <is>
          <t>Kết nối tri thức</t>
        </is>
      </c>
      <c r="D229" s="3" t="inlineStr">
        <is>
          <t>Bài 30</t>
        </is>
      </c>
      <c r="E229" s="3" t="inlineStr">
        <is>
          <t>Chủ đề 8. Phép cộng, phép trừ (không nhớ) trong phạm vi 100</t>
        </is>
      </c>
      <c r="F229" s="3" t="inlineStr">
        <is>
          <t>Bài 30. Phép cộng số có hai chữ số với số có hai chữ số</t>
        </is>
      </c>
      <c r="G229" s="3" t="inlineStr">
        <is>
          <t>Điền đáp án</t>
        </is>
      </c>
      <c r="H229" s="14" t="n">
        <v>5</v>
      </c>
      <c r="I229" s="3" t="inlineStr">
        <is>
          <t>Mở rộng</t>
        </is>
      </c>
      <c r="J229" s="3" t="inlineStr">
        <is>
          <t>Tính: 40 + 15 + 2 = ...</t>
        </is>
      </c>
      <c r="K229" s="3" t="inlineStr"/>
      <c r="L229" s="3" t="inlineStr">
        <is>
          <t>57</t>
        </is>
      </c>
      <c r="M229" s="3" t="inlineStr">
        <is>
          <t>40 + 15 = 55; 55 + 2 = 57.</t>
        </is>
      </c>
      <c r="N229" s="3" t="inlineStr">
        <is>
          <t>Tính từ trái sang phải: 40 + 15 = 55, rồi 55 + 2 = 57.</t>
        </is>
      </c>
      <c r="O229" s="14" t="n">
        <v>85</v>
      </c>
      <c r="P229" s="14">
        <f>INDEX(Khung_cap_do!$H$2:$H$6,H229)</f>
        <v/>
      </c>
      <c r="Q229" s="3" t="inlineStr">
        <is>
          <t>T1.PT.06</t>
        </is>
      </c>
      <c r="R229" s="3" t="inlineStr">
        <is>
          <t>TOAN.TINH</t>
        </is>
      </c>
    </row>
    <row r="230">
      <c r="A230" s="3" t="inlineStr">
        <is>
          <t>toan1-kntt-b31-q1</t>
        </is>
      </c>
      <c r="B230" s="3" t="inlineStr">
        <is>
          <t>Toán</t>
        </is>
      </c>
      <c r="C230" s="3" t="inlineStr">
        <is>
          <t>Kết nối tri thức</t>
        </is>
      </c>
      <c r="D230" s="3" t="inlineStr">
        <is>
          <t>Bài 31</t>
        </is>
      </c>
      <c r="E230" s="3" t="inlineStr">
        <is>
          <t>Chủ đề 8. Phép cộng, phép trừ (không nhớ) trong phạm vi 100</t>
        </is>
      </c>
      <c r="F230" s="3" t="inlineStr">
        <is>
          <t>Bài 31. Phép trừ số có hai chữ số cho số có một chữ số</t>
        </is>
      </c>
      <c r="G230" s="3" t="inlineStr">
        <is>
          <t>Điền đáp án</t>
        </is>
      </c>
      <c r="H230" s="14" t="n">
        <v>1</v>
      </c>
      <c r="I230" s="3" t="inlineStr">
        <is>
          <t>Làm quen</t>
        </is>
      </c>
      <c r="J230" s="3" t="inlineStr">
        <is>
          <t>76 − 5 = ...</t>
        </is>
      </c>
      <c r="K230" s="3" t="inlineStr"/>
      <c r="L230" s="3" t="inlineStr">
        <is>
          <t>71</t>
        </is>
      </c>
      <c r="M230" s="3" t="inlineStr">
        <is>
          <t>6 trừ 5 bằng 1, viết 1; hạ 7. Được 71.</t>
        </is>
      </c>
      <c r="N230" s="3" t="n"/>
      <c r="O230" s="14" t="n">
        <v>40</v>
      </c>
      <c r="P230" s="14">
        <f>INDEX(Khung_cap_do!$H$2:$H$6,H230)</f>
        <v/>
      </c>
      <c r="Q230" s="3" t="inlineStr">
        <is>
          <t>T1.PT.04</t>
        </is>
      </c>
      <c r="R230" s="3" t="inlineStr">
        <is>
          <t>TOAN.TINH</t>
        </is>
      </c>
    </row>
    <row r="231">
      <c r="A231" s="3" t="inlineStr">
        <is>
          <t>toan1-kntt-b31-q2</t>
        </is>
      </c>
      <c r="B231" s="3" t="inlineStr">
        <is>
          <t>Toán</t>
        </is>
      </c>
      <c r="C231" s="3" t="inlineStr">
        <is>
          <t>Kết nối tri thức</t>
        </is>
      </c>
      <c r="D231" s="3" t="inlineStr">
        <is>
          <t>Bài 31</t>
        </is>
      </c>
      <c r="E231" s="3" t="inlineStr">
        <is>
          <t>Chủ đề 8. Phép cộng, phép trừ (không nhớ) trong phạm vi 100</t>
        </is>
      </c>
      <c r="F231" s="3" t="inlineStr">
        <is>
          <t>Bài 31. Phép trừ số có hai chữ số cho số có một chữ số</t>
        </is>
      </c>
      <c r="G231" s="3" t="inlineStr">
        <is>
          <t>Điền đáp án</t>
        </is>
      </c>
      <c r="H231" s="14" t="n">
        <v>1</v>
      </c>
      <c r="I231" s="3" t="inlineStr">
        <is>
          <t>Làm quen</t>
        </is>
      </c>
      <c r="J231" s="3" t="inlineStr">
        <is>
          <t>34 − 4 = ...</t>
        </is>
      </c>
      <c r="K231" s="3" t="inlineStr"/>
      <c r="L231" s="3" t="inlineStr">
        <is>
          <t>30</t>
        </is>
      </c>
      <c r="M231" s="3" t="inlineStr">
        <is>
          <t>4 trừ 4 bằng 0, viết 0; hạ 3. Được 30.</t>
        </is>
      </c>
      <c r="N231" s="3" t="n"/>
      <c r="O231" s="14" t="n">
        <v>40</v>
      </c>
      <c r="P231" s="14">
        <f>INDEX(Khung_cap_do!$H$2:$H$6,H231)</f>
        <v/>
      </c>
      <c r="Q231" s="3" t="inlineStr">
        <is>
          <t>T1.PT.04</t>
        </is>
      </c>
      <c r="R231" s="3" t="inlineStr">
        <is>
          <t>TOAN.TINH</t>
        </is>
      </c>
    </row>
    <row r="232">
      <c r="A232" s="3" t="inlineStr">
        <is>
          <t>toan1-kntt-b31-q3</t>
        </is>
      </c>
      <c r="B232" s="3" t="inlineStr">
        <is>
          <t>Toán</t>
        </is>
      </c>
      <c r="C232" s="3" t="inlineStr">
        <is>
          <t>Kết nối tri thức</t>
        </is>
      </c>
      <c r="D232" s="3" t="inlineStr">
        <is>
          <t>Bài 31</t>
        </is>
      </c>
      <c r="E232" s="3" t="inlineStr">
        <is>
          <t>Chủ đề 8. Phép cộng, phép trừ (không nhớ) trong phạm vi 100</t>
        </is>
      </c>
      <c r="F232" s="3" t="inlineStr">
        <is>
          <t>Bài 31. Phép trừ số có hai chữ số cho số có một chữ số</t>
        </is>
      </c>
      <c r="G232" s="3" t="inlineStr">
        <is>
          <t>Chọn đáp án</t>
        </is>
      </c>
      <c r="H232" s="14" t="n">
        <v>2</v>
      </c>
      <c r="I232" s="3" t="inlineStr">
        <is>
          <t>Cơ bản</t>
        </is>
      </c>
      <c r="J232" s="3" t="inlineStr">
        <is>
          <t>99 − 9 = ?</t>
        </is>
      </c>
      <c r="K232" s="3" t="inlineStr">
        <is>
          <t>A. 90 | B. 9 | C. 99</t>
        </is>
      </c>
      <c r="L232" s="3" t="inlineStr">
        <is>
          <t>A</t>
        </is>
      </c>
      <c r="M232" s="3" t="inlineStr">
        <is>
          <t>9 − 9 = 0; hạ 9: 90.</t>
        </is>
      </c>
      <c r="N232" s="3" t="n"/>
      <c r="O232" s="14" t="n">
        <v>40</v>
      </c>
      <c r="P232" s="14">
        <f>INDEX(Khung_cap_do!$H$2:$H$6,H232)</f>
        <v/>
      </c>
      <c r="Q232" s="3" t="inlineStr">
        <is>
          <t>T1.PT.04</t>
        </is>
      </c>
      <c r="R232" s="3" t="inlineStr">
        <is>
          <t>TOAN.TINH</t>
        </is>
      </c>
    </row>
    <row r="233">
      <c r="A233" s="3" t="inlineStr">
        <is>
          <t>toan1-kntt-b31-q4</t>
        </is>
      </c>
      <c r="B233" s="3" t="inlineStr">
        <is>
          <t>Toán</t>
        </is>
      </c>
      <c r="C233" s="3" t="inlineStr">
        <is>
          <t>Kết nối tri thức</t>
        </is>
      </c>
      <c r="D233" s="3" t="inlineStr">
        <is>
          <t>Bài 31</t>
        </is>
      </c>
      <c r="E233" s="3" t="inlineStr">
        <is>
          <t>Chủ đề 8. Phép cộng, phép trừ (không nhớ) trong phạm vi 100</t>
        </is>
      </c>
      <c r="F233" s="3" t="inlineStr">
        <is>
          <t>Bài 31. Phép trừ số có hai chữ số cho số có một chữ số</t>
        </is>
      </c>
      <c r="G233" s="3" t="inlineStr">
        <is>
          <t>Điền đáp án</t>
        </is>
      </c>
      <c r="H233" s="14" t="n">
        <v>2</v>
      </c>
      <c r="I233" s="3" t="inlineStr">
        <is>
          <t>Cơ bản</t>
        </is>
      </c>
      <c r="J233" s="3" t="inlineStr">
        <is>
          <t>Đặt tính rồi tính: 46 − 4 = ...</t>
        </is>
      </c>
      <c r="K233" s="3" t="inlineStr"/>
      <c r="L233" s="3" t="inlineStr">
        <is>
          <t>42</t>
        </is>
      </c>
      <c r="M233" s="3" t="inlineStr">
        <is>
          <t>6 − 4 = 2; hạ 4. Được 42.</t>
        </is>
      </c>
      <c r="N233" s="3" t="n"/>
      <c r="O233" s="14" t="n">
        <v>50</v>
      </c>
      <c r="P233" s="14">
        <f>INDEX(Khung_cap_do!$H$2:$H$6,H233)</f>
        <v/>
      </c>
      <c r="Q233" s="3" t="inlineStr">
        <is>
          <t>T1.PT.04</t>
        </is>
      </c>
      <c r="R233" s="3" t="inlineStr">
        <is>
          <t>TOAN.TINH</t>
        </is>
      </c>
    </row>
    <row r="234">
      <c r="A234" s="3" t="inlineStr">
        <is>
          <t>toan1-kntt-b31-q5</t>
        </is>
      </c>
      <c r="B234" s="3" t="inlineStr">
        <is>
          <t>Toán</t>
        </is>
      </c>
      <c r="C234" s="3" t="inlineStr">
        <is>
          <t>Kết nối tri thức</t>
        </is>
      </c>
      <c r="D234" s="3" t="inlineStr">
        <is>
          <t>Bài 31</t>
        </is>
      </c>
      <c r="E234" s="3" t="inlineStr">
        <is>
          <t>Chủ đề 8. Phép cộng, phép trừ (không nhớ) trong phạm vi 100</t>
        </is>
      </c>
      <c r="F234" s="3" t="inlineStr">
        <is>
          <t>Bài 31. Phép trừ số có hai chữ số cho số có một chữ số</t>
        </is>
      </c>
      <c r="G234" s="3" t="inlineStr">
        <is>
          <t>Điền đáp án</t>
        </is>
      </c>
      <c r="H234" s="14" t="n">
        <v>3</v>
      </c>
      <c r="I234" s="3" t="inlineStr">
        <is>
          <t>Vận dụng</t>
        </is>
      </c>
      <c r="J234" s="3" t="inlineStr">
        <is>
          <t>Một xe buýt chở 29 hành khách. Đến bến có 5 hành khách xuống xe. Hỏi trên xe còn lại bao nhiêu hành khách?</t>
        </is>
      </c>
      <c r="K234" s="3" t="inlineStr"/>
      <c r="L234" s="3" t="inlineStr">
        <is>
          <t>24</t>
        </is>
      </c>
      <c r="M234" s="3" t="inlineStr">
        <is>
          <t>29 − 5 = 24 hành khách.</t>
        </is>
      </c>
      <c r="N234" s="3" t="inlineStr">
        <is>
          <t>"Xuống xe", "còn lại" là bớt đi: 29 − 5 = 24. Trên xe còn 24 hành khách.</t>
        </is>
      </c>
      <c r="O234" s="14" t="n">
        <v>70</v>
      </c>
      <c r="P234" s="14">
        <f>INDEX(Khung_cap_do!$H$2:$H$6,H234)</f>
        <v/>
      </c>
      <c r="Q234" s="3" t="inlineStr">
        <is>
          <t>T1.PT.07</t>
        </is>
      </c>
      <c r="R234" s="3" t="inlineStr">
        <is>
          <t>TOAN.LOIVAN</t>
        </is>
      </c>
    </row>
    <row r="235">
      <c r="A235" s="3" t="inlineStr">
        <is>
          <t>toan1-kntt-b31-q6</t>
        </is>
      </c>
      <c r="B235" s="3" t="inlineStr">
        <is>
          <t>Toán</t>
        </is>
      </c>
      <c r="C235" s="3" t="inlineStr">
        <is>
          <t>Kết nối tri thức</t>
        </is>
      </c>
      <c r="D235" s="3" t="inlineStr">
        <is>
          <t>Bài 31</t>
        </is>
      </c>
      <c r="E235" s="3" t="inlineStr">
        <is>
          <t>Chủ đề 8. Phép cộng, phép trừ (không nhớ) trong phạm vi 100</t>
        </is>
      </c>
      <c r="F235" s="3" t="inlineStr">
        <is>
          <t>Bài 31. Phép trừ số có hai chữ số cho số có một chữ số</t>
        </is>
      </c>
      <c r="G235" s="3" t="inlineStr">
        <is>
          <t>Đúng / Sai</t>
        </is>
      </c>
      <c r="H235" s="14" t="n">
        <v>3</v>
      </c>
      <c r="I235" s="3" t="inlineStr">
        <is>
          <t>Vận dụng</t>
        </is>
      </c>
      <c r="J235" s="3" t="inlineStr">
        <is>
          <t>88 − 5 = 38. Đúng hay sai?</t>
        </is>
      </c>
      <c r="K235" s="3" t="inlineStr">
        <is>
          <t>A. Đúng | B. Sai</t>
        </is>
      </c>
      <c r="L235" s="3" t="inlineStr">
        <is>
          <t>B</t>
        </is>
      </c>
      <c r="M235" s="3" t="inlineStr">
        <is>
          <t>88 − 5 = 83.</t>
        </is>
      </c>
      <c r="N235" s="3" t="inlineStr">
        <is>
          <t>Đặt tính: đơn vị 8 − 5 = 3, chục hạ 8. Kết quả đúng là 83, không phải 38 (đã trừ nhầm vào hàng chục).</t>
        </is>
      </c>
      <c r="O235" s="14" t="n">
        <v>50</v>
      </c>
      <c r="P235" s="14">
        <f>INDEX(Khung_cap_do!$H$2:$H$6,H235)</f>
        <v/>
      </c>
      <c r="Q235" s="3" t="inlineStr">
        <is>
          <t>T1.PT.04</t>
        </is>
      </c>
      <c r="R235" s="3" t="inlineStr">
        <is>
          <t>TOAN.DUNGSAI</t>
        </is>
      </c>
    </row>
    <row r="236">
      <c r="A236" s="3" t="inlineStr">
        <is>
          <t>toan1-kntt-b31-q7</t>
        </is>
      </c>
      <c r="B236" s="3" t="inlineStr">
        <is>
          <t>Toán</t>
        </is>
      </c>
      <c r="C236" s="3" t="inlineStr">
        <is>
          <t>Kết nối tri thức</t>
        </is>
      </c>
      <c r="D236" s="3" t="inlineStr">
        <is>
          <t>Bài 31</t>
        </is>
      </c>
      <c r="E236" s="3" t="inlineStr">
        <is>
          <t>Chủ đề 8. Phép cộng, phép trừ (không nhớ) trong phạm vi 100</t>
        </is>
      </c>
      <c r="F236" s="3" t="inlineStr">
        <is>
          <t>Bài 31. Phép trừ số có hai chữ số cho số có một chữ số</t>
        </is>
      </c>
      <c r="G236" s="3" t="inlineStr">
        <is>
          <t>Điền đáp án</t>
        </is>
      </c>
      <c r="H236" s="14" t="n">
        <v>4</v>
      </c>
      <c r="I236" s="3" t="inlineStr">
        <is>
          <t>Thử thách</t>
        </is>
      </c>
      <c r="J236" s="3" t="inlineStr">
        <is>
          <t>Có 18 bạn rùa và thỏ chơi trốn tìm, trong đó có 8 bạn rùa. Hỏi có bao nhiêu bạn thỏ?</t>
        </is>
      </c>
      <c r="K236" s="3" t="inlineStr"/>
      <c r="L236" s="3" t="inlineStr">
        <is>
          <t>10</t>
        </is>
      </c>
      <c r="M236" s="3" t="inlineStr">
        <is>
          <t>18 − 8 = 10 bạn thỏ.</t>
        </is>
      </c>
      <c r="N236" s="3" t="inlineStr">
        <is>
          <t>Tất cả 18 bạn gồm rùa và thỏ. Bớt đi số rùa (8) thì còn số thỏ: 18 − 8 = 10.</t>
        </is>
      </c>
      <c r="O236" s="14" t="n">
        <v>80</v>
      </c>
      <c r="P236" s="14">
        <f>INDEX(Khung_cap_do!$H$2:$H$6,H236)</f>
        <v/>
      </c>
      <c r="Q236" s="3" t="inlineStr">
        <is>
          <t>T1.PT.07</t>
        </is>
      </c>
      <c r="R236" s="3" t="inlineStr">
        <is>
          <t>TOAN.LOIVAN</t>
        </is>
      </c>
    </row>
    <row r="237">
      <c r="A237" s="3" t="inlineStr">
        <is>
          <t>toan1-kntt-b31-q8</t>
        </is>
      </c>
      <c r="B237" s="3" t="inlineStr">
        <is>
          <t>Toán</t>
        </is>
      </c>
      <c r="C237" s="3" t="inlineStr">
        <is>
          <t>Kết nối tri thức</t>
        </is>
      </c>
      <c r="D237" s="3" t="inlineStr">
        <is>
          <t>Bài 31</t>
        </is>
      </c>
      <c r="E237" s="3" t="inlineStr">
        <is>
          <t>Chủ đề 8. Phép cộng, phép trừ (không nhớ) trong phạm vi 100</t>
        </is>
      </c>
      <c r="F237" s="3" t="inlineStr">
        <is>
          <t>Bài 31. Phép trừ số có hai chữ số cho số có một chữ số</t>
        </is>
      </c>
      <c r="G237" s="3" t="inlineStr">
        <is>
          <t>Điền đáp án</t>
        </is>
      </c>
      <c r="H237" s="14" t="n">
        <v>5</v>
      </c>
      <c r="I237" s="3" t="inlineStr">
        <is>
          <t>Mở rộng</t>
        </is>
      </c>
      <c r="J237" s="3" t="inlineStr">
        <is>
          <t>Tính: 59 − 2 − 4 = ...</t>
        </is>
      </c>
      <c r="K237" s="3" t="inlineStr"/>
      <c r="L237" s="3" t="inlineStr">
        <is>
          <t>53</t>
        </is>
      </c>
      <c r="M237" s="3" t="inlineStr">
        <is>
          <t>59 − 2 = 57; 57 − 4 = 53.</t>
        </is>
      </c>
      <c r="N237" s="3" t="inlineStr">
        <is>
          <t>Tính lần lượt từ trái sang phải: 59 − 2 = 57, rồi 57 − 4 = 53.</t>
        </is>
      </c>
      <c r="O237" s="14" t="n">
        <v>85</v>
      </c>
      <c r="P237" s="14">
        <f>INDEX(Khung_cap_do!$H$2:$H$6,H237)</f>
        <v/>
      </c>
      <c r="Q237" s="3" t="inlineStr">
        <is>
          <t>T1.PT.06</t>
        </is>
      </c>
      <c r="R237" s="3" t="inlineStr">
        <is>
          <t>TOAN.TINH</t>
        </is>
      </c>
    </row>
    <row r="238">
      <c r="A238" s="3" t="inlineStr">
        <is>
          <t>toan1-kntt-b32-q1</t>
        </is>
      </c>
      <c r="B238" s="3" t="inlineStr">
        <is>
          <t>Toán</t>
        </is>
      </c>
      <c r="C238" s="3" t="inlineStr">
        <is>
          <t>Kết nối tri thức</t>
        </is>
      </c>
      <c r="D238" s="3" t="inlineStr">
        <is>
          <t>Bài 32</t>
        </is>
      </c>
      <c r="E238" s="3" t="inlineStr">
        <is>
          <t>Chủ đề 8. Phép cộng, phép trừ (không nhớ) trong phạm vi 100</t>
        </is>
      </c>
      <c r="F238" s="3" t="inlineStr">
        <is>
          <t>Bài 32. Phép trừ số có hai chữ số cho số có hai chữ số</t>
        </is>
      </c>
      <c r="G238" s="3" t="inlineStr">
        <is>
          <t>Điền đáp án</t>
        </is>
      </c>
      <c r="H238" s="14" t="n">
        <v>1</v>
      </c>
      <c r="I238" s="3" t="inlineStr">
        <is>
          <t>Làm quen</t>
        </is>
      </c>
      <c r="J238" s="3" t="inlineStr">
        <is>
          <t>76 − 32 = ...</t>
        </is>
      </c>
      <c r="K238" s="3" t="inlineStr"/>
      <c r="L238" s="3" t="inlineStr">
        <is>
          <t>44</t>
        </is>
      </c>
      <c r="M238" s="3" t="inlineStr">
        <is>
          <t>6 − 2 = 4; 7 − 3 = 4. Được 44.</t>
        </is>
      </c>
      <c r="N238" s="3" t="n"/>
      <c r="O238" s="14" t="n">
        <v>40</v>
      </c>
      <c r="P238" s="14">
        <f>INDEX(Khung_cap_do!$H$2:$H$6,H238)</f>
        <v/>
      </c>
      <c r="Q238" s="3" t="inlineStr">
        <is>
          <t>T1.PT.04</t>
        </is>
      </c>
      <c r="R238" s="3" t="inlineStr">
        <is>
          <t>TOAN.TINH</t>
        </is>
      </c>
    </row>
    <row r="239">
      <c r="A239" s="3" t="inlineStr">
        <is>
          <t>toan1-kntt-b32-q2</t>
        </is>
      </c>
      <c r="B239" s="3" t="inlineStr">
        <is>
          <t>Toán</t>
        </is>
      </c>
      <c r="C239" s="3" t="inlineStr">
        <is>
          <t>Kết nối tri thức</t>
        </is>
      </c>
      <c r="D239" s="3" t="inlineStr">
        <is>
          <t>Bài 32</t>
        </is>
      </c>
      <c r="E239" s="3" t="inlineStr">
        <is>
          <t>Chủ đề 8. Phép cộng, phép trừ (không nhớ) trong phạm vi 100</t>
        </is>
      </c>
      <c r="F239" s="3" t="inlineStr">
        <is>
          <t>Bài 32. Phép trừ số có hai chữ số cho số có hai chữ số</t>
        </is>
      </c>
      <c r="G239" s="3" t="inlineStr">
        <is>
          <t>Điền đáp án</t>
        </is>
      </c>
      <c r="H239" s="14" t="n">
        <v>1</v>
      </c>
      <c r="I239" s="3" t="inlineStr">
        <is>
          <t>Làm quen</t>
        </is>
      </c>
      <c r="J239" s="3" t="inlineStr">
        <is>
          <t>Tính nhẩm: 60 − 20 = ...</t>
        </is>
      </c>
      <c r="K239" s="3" t="inlineStr"/>
      <c r="L239" s="3" t="inlineStr">
        <is>
          <t>40</t>
        </is>
      </c>
      <c r="M239" s="3" t="inlineStr">
        <is>
          <t>6 chục − 2 chục = 4 chục: 40.</t>
        </is>
      </c>
      <c r="N239" s="3" t="n"/>
      <c r="O239" s="14" t="n">
        <v>40</v>
      </c>
      <c r="P239" s="14">
        <f>INDEX(Khung_cap_do!$H$2:$H$6,H239)</f>
        <v/>
      </c>
      <c r="Q239" s="3" t="inlineStr">
        <is>
          <t>T1.PT.05</t>
        </is>
      </c>
      <c r="R239" s="3" t="inlineStr">
        <is>
          <t>TOAN.TINH</t>
        </is>
      </c>
    </row>
    <row r="240">
      <c r="A240" s="3" t="inlineStr">
        <is>
          <t>toan1-kntt-b32-q3</t>
        </is>
      </c>
      <c r="B240" s="3" t="inlineStr">
        <is>
          <t>Toán</t>
        </is>
      </c>
      <c r="C240" s="3" t="inlineStr">
        <is>
          <t>Kết nối tri thức</t>
        </is>
      </c>
      <c r="D240" s="3" t="inlineStr">
        <is>
          <t>Bài 32</t>
        </is>
      </c>
      <c r="E240" s="3" t="inlineStr">
        <is>
          <t>Chủ đề 8. Phép cộng, phép trừ (không nhớ) trong phạm vi 100</t>
        </is>
      </c>
      <c r="F240" s="3" t="inlineStr">
        <is>
          <t>Bài 32. Phép trừ số có hai chữ số cho số có hai chữ số</t>
        </is>
      </c>
      <c r="G240" s="3" t="inlineStr">
        <is>
          <t>Chọn đáp án</t>
        </is>
      </c>
      <c r="H240" s="14" t="n">
        <v>2</v>
      </c>
      <c r="I240" s="3" t="inlineStr">
        <is>
          <t>Cơ bản</t>
        </is>
      </c>
      <c r="J240" s="3" t="inlineStr">
        <is>
          <t>52 − 20 = ?</t>
        </is>
      </c>
      <c r="K240" s="3" t="inlineStr">
        <is>
          <t>A. 32 | B. 50 | C. 72</t>
        </is>
      </c>
      <c r="L240" s="3" t="inlineStr">
        <is>
          <t>A</t>
        </is>
      </c>
      <c r="M240" s="3" t="inlineStr">
        <is>
          <t>2 − 0 = 2; 5 − 2 = 3. Được 32.</t>
        </is>
      </c>
      <c r="N240" s="3" t="n"/>
      <c r="O240" s="14" t="n">
        <v>40</v>
      </c>
      <c r="P240" s="14">
        <f>INDEX(Khung_cap_do!$H$2:$H$6,H240)</f>
        <v/>
      </c>
      <c r="Q240" s="3" t="inlineStr">
        <is>
          <t>T1.PT.04</t>
        </is>
      </c>
      <c r="R240" s="3" t="inlineStr">
        <is>
          <t>TOAN.TINH</t>
        </is>
      </c>
    </row>
    <row r="241">
      <c r="A241" s="3" t="inlineStr">
        <is>
          <t>toan1-kntt-b32-q4</t>
        </is>
      </c>
      <c r="B241" s="3" t="inlineStr">
        <is>
          <t>Toán</t>
        </is>
      </c>
      <c r="C241" s="3" t="inlineStr">
        <is>
          <t>Kết nối tri thức</t>
        </is>
      </c>
      <c r="D241" s="3" t="inlineStr">
        <is>
          <t>Bài 32</t>
        </is>
      </c>
      <c r="E241" s="3" t="inlineStr">
        <is>
          <t>Chủ đề 8. Phép cộng, phép trừ (không nhớ) trong phạm vi 100</t>
        </is>
      </c>
      <c r="F241" s="3" t="inlineStr">
        <is>
          <t>Bài 32. Phép trừ số có hai chữ số cho số có hai chữ số</t>
        </is>
      </c>
      <c r="G241" s="3" t="inlineStr">
        <is>
          <t>Điền đáp án</t>
        </is>
      </c>
      <c r="H241" s="14" t="n">
        <v>2</v>
      </c>
      <c r="I241" s="3" t="inlineStr">
        <is>
          <t>Cơ bản</t>
        </is>
      </c>
      <c r="J241" s="3" t="inlineStr">
        <is>
          <t>Đặt tính rồi tính: 79 − 59 = ...</t>
        </is>
      </c>
      <c r="K241" s="3" t="inlineStr"/>
      <c r="L241" s="3" t="inlineStr">
        <is>
          <t>20</t>
        </is>
      </c>
      <c r="M241" s="3" t="inlineStr">
        <is>
          <t>9 − 9 = 0; 7 − 5 = 2. Được 20.</t>
        </is>
      </c>
      <c r="N241" s="3" t="n"/>
      <c r="O241" s="14" t="n">
        <v>50</v>
      </c>
      <c r="P241" s="14">
        <f>INDEX(Khung_cap_do!$H$2:$H$6,H241)</f>
        <v/>
      </c>
      <c r="Q241" s="3" t="inlineStr">
        <is>
          <t>T1.PT.04</t>
        </is>
      </c>
      <c r="R241" s="3" t="inlineStr">
        <is>
          <t>TOAN.TINH</t>
        </is>
      </c>
    </row>
    <row r="242">
      <c r="A242" s="3" t="inlineStr">
        <is>
          <t>toan1-kntt-b32-q5</t>
        </is>
      </c>
      <c r="B242" s="3" t="inlineStr">
        <is>
          <t>Toán</t>
        </is>
      </c>
      <c r="C242" s="3" t="inlineStr">
        <is>
          <t>Kết nối tri thức</t>
        </is>
      </c>
      <c r="D242" s="3" t="inlineStr">
        <is>
          <t>Bài 32</t>
        </is>
      </c>
      <c r="E242" s="3" t="inlineStr">
        <is>
          <t>Chủ đề 8. Phép cộng, phép trừ (không nhớ) trong phạm vi 100</t>
        </is>
      </c>
      <c r="F242" s="3" t="inlineStr">
        <is>
          <t>Bài 32. Phép trừ số có hai chữ số cho số có hai chữ số</t>
        </is>
      </c>
      <c r="G242" s="3" t="inlineStr">
        <is>
          <t>Điền đáp án</t>
        </is>
      </c>
      <c r="H242" s="14" t="n">
        <v>3</v>
      </c>
      <c r="I242" s="3" t="inlineStr">
        <is>
          <t>Vận dụng</t>
        </is>
      </c>
      <c r="J242" s="3" t="inlineStr">
        <is>
          <t>Trong vườn có tất cả 75 cây nhãn và cây vải, trong đó có 25 cây nhãn. Hỏi trong vườn có bao nhiêu cây vải?</t>
        </is>
      </c>
      <c r="K242" s="3" t="inlineStr"/>
      <c r="L242" s="3" t="inlineStr">
        <is>
          <t>50</t>
        </is>
      </c>
      <c r="M242" s="3" t="inlineStr">
        <is>
          <t>75 − 25 = 50 cây vải.</t>
        </is>
      </c>
      <c r="N242" s="3" t="inlineStr">
        <is>
          <t>Tất cả 75 cây, bớt đi 25 cây nhãn thì còn số cây vải: 75 − 25 = 50.</t>
        </is>
      </c>
      <c r="O242" s="14" t="n">
        <v>70</v>
      </c>
      <c r="P242" s="14">
        <f>INDEX(Khung_cap_do!$H$2:$H$6,H242)</f>
        <v/>
      </c>
      <c r="Q242" s="3" t="inlineStr">
        <is>
          <t>T1.PT.07</t>
        </is>
      </c>
      <c r="R242" s="3" t="inlineStr">
        <is>
          <t>TOAN.LOIVAN</t>
        </is>
      </c>
    </row>
    <row r="243">
      <c r="A243" s="3" t="inlineStr">
        <is>
          <t>toan1-kntt-b32-q6</t>
        </is>
      </c>
      <c r="B243" s="3" t="inlineStr">
        <is>
          <t>Toán</t>
        </is>
      </c>
      <c r="C243" s="3" t="inlineStr">
        <is>
          <t>Kết nối tri thức</t>
        </is>
      </c>
      <c r="D243" s="3" t="inlineStr">
        <is>
          <t>Bài 32</t>
        </is>
      </c>
      <c r="E243" s="3" t="inlineStr">
        <is>
          <t>Chủ đề 8. Phép cộng, phép trừ (không nhớ) trong phạm vi 100</t>
        </is>
      </c>
      <c r="F243" s="3" t="inlineStr">
        <is>
          <t>Bài 32. Phép trừ số có hai chữ số cho số có hai chữ số</t>
        </is>
      </c>
      <c r="G243" s="3" t="inlineStr">
        <is>
          <t>Chọn đáp án</t>
        </is>
      </c>
      <c r="H243" s="14" t="n">
        <v>4</v>
      </c>
      <c r="I243" s="3" t="inlineStr">
        <is>
          <t>Thử thách</t>
        </is>
      </c>
      <c r="J243" s="3" t="inlineStr">
        <is>
          <t>Quả dưa nào ghi phép tính có kết quả lớn nhất?</t>
        </is>
      </c>
      <c r="K243" s="3" t="inlineStr">
        <is>
          <t>A. 70 − 20 | B. 54 − 14 | C. 35 − 10</t>
        </is>
      </c>
      <c r="L243" s="3" t="inlineStr">
        <is>
          <t>A</t>
        </is>
      </c>
      <c r="M243" s="3" t="inlineStr">
        <is>
          <t>70 − 20 = 50; 54 − 14 = 40; 35 − 10 = 25.</t>
        </is>
      </c>
      <c r="N243" s="3" t="inlineStr">
        <is>
          <t>Tính từng phép tính được 50, 40, 25. Kết quả lớn nhất là 50, của 70 − 20.</t>
        </is>
      </c>
      <c r="O243" s="14" t="n">
        <v>60</v>
      </c>
      <c r="P243" s="14">
        <f>INDEX(Khung_cap_do!$H$2:$H$6,H243)</f>
        <v/>
      </c>
      <c r="Q243" s="3" t="inlineStr">
        <is>
          <t>T1.PT.04</t>
        </is>
      </c>
      <c r="R243" s="3" t="inlineStr">
        <is>
          <t>TOAN.SOSANH</t>
        </is>
      </c>
    </row>
    <row r="244">
      <c r="A244" s="3" t="inlineStr">
        <is>
          <t>toan1-kntt-b32-q7</t>
        </is>
      </c>
      <c r="B244" s="3" t="inlineStr">
        <is>
          <t>Toán</t>
        </is>
      </c>
      <c r="C244" s="3" t="inlineStr">
        <is>
          <t>Kết nối tri thức</t>
        </is>
      </c>
      <c r="D244" s="3" t="inlineStr">
        <is>
          <t>Bài 32</t>
        </is>
      </c>
      <c r="E244" s="3" t="inlineStr">
        <is>
          <t>Chủ đề 8. Phép cộng, phép trừ (không nhớ) trong phạm vi 100</t>
        </is>
      </c>
      <c r="F244" s="3" t="inlineStr">
        <is>
          <t>Bài 32. Phép trừ số có hai chữ số cho số có hai chữ số</t>
        </is>
      </c>
      <c r="G244" s="3" t="inlineStr">
        <is>
          <t>Điền đáp án</t>
        </is>
      </c>
      <c r="H244" s="14" t="n">
        <v>4</v>
      </c>
      <c r="I244" s="3" t="inlineStr">
        <is>
          <t>Thử thách</t>
        </is>
      </c>
      <c r="J244" s="3" t="inlineStr">
        <is>
          <t>Một đống gạch có 86 viên. Bạn Rô-bốt lấy đi 50 viên để xây tường. Hỏi đống gạch còn lại bao nhiêu viên?</t>
        </is>
      </c>
      <c r="K244" s="3" t="inlineStr"/>
      <c r="L244" s="3" t="inlineStr">
        <is>
          <t>36</t>
        </is>
      </c>
      <c r="M244" s="3" t="inlineStr">
        <is>
          <t>86 − 50 = 36 viên gạch.</t>
        </is>
      </c>
      <c r="N244" s="3" t="inlineStr">
        <is>
          <t>"Lấy đi", "còn lại" là phép trừ: 86 − 50 = 36. Đống gạch còn 36 viên.</t>
        </is>
      </c>
      <c r="O244" s="14" t="n">
        <v>80</v>
      </c>
      <c r="P244" s="14">
        <f>INDEX(Khung_cap_do!$H$2:$H$6,H244)</f>
        <v/>
      </c>
      <c r="Q244" s="3" t="inlineStr">
        <is>
          <t>T1.PT.07</t>
        </is>
      </c>
      <c r="R244" s="3" t="inlineStr">
        <is>
          <t>TOAN.LOIVAN</t>
        </is>
      </c>
    </row>
    <row r="245">
      <c r="A245" s="3" t="inlineStr">
        <is>
          <t>toan1-kntt-b32-q8</t>
        </is>
      </c>
      <c r="B245" s="3" t="inlineStr">
        <is>
          <t>Toán</t>
        </is>
      </c>
      <c r="C245" s="3" t="inlineStr">
        <is>
          <t>Kết nối tri thức</t>
        </is>
      </c>
      <c r="D245" s="3" t="inlineStr">
        <is>
          <t>Bài 32</t>
        </is>
      </c>
      <c r="E245" s="3" t="inlineStr">
        <is>
          <t>Chủ đề 8. Phép cộng, phép trừ (không nhớ) trong phạm vi 100</t>
        </is>
      </c>
      <c r="F245" s="3" t="inlineStr">
        <is>
          <t>Bài 32. Phép trừ số có hai chữ số cho số có hai chữ số</t>
        </is>
      </c>
      <c r="G245" s="3" t="inlineStr">
        <is>
          <t>Điền đáp án</t>
        </is>
      </c>
      <c r="H245" s="14" t="n">
        <v>5</v>
      </c>
      <c r="I245" s="3" t="inlineStr">
        <is>
          <t>Mở rộng</t>
        </is>
      </c>
      <c r="J245" s="3" t="inlineStr">
        <is>
          <t>Tính: 85 − 25 − 20 = ...</t>
        </is>
      </c>
      <c r="K245" s="3" t="inlineStr"/>
      <c r="L245" s="3" t="inlineStr">
        <is>
          <t>40</t>
        </is>
      </c>
      <c r="M245" s="3" t="inlineStr">
        <is>
          <t>85 − 25 = 60; 60 − 20 = 40.</t>
        </is>
      </c>
      <c r="N245" s="3" t="inlineStr">
        <is>
          <t>Tính lần lượt: 85 − 25 = 60, rồi 60 − 20 = 40.</t>
        </is>
      </c>
      <c r="O245" s="14" t="n">
        <v>85</v>
      </c>
      <c r="P245" s="14">
        <f>INDEX(Khung_cap_do!$H$2:$H$6,H245)</f>
        <v/>
      </c>
      <c r="Q245" s="3" t="inlineStr">
        <is>
          <t>T1.PT.06</t>
        </is>
      </c>
      <c r="R245" s="3" t="inlineStr">
        <is>
          <t>TOAN.TINH</t>
        </is>
      </c>
    </row>
    <row r="246">
      <c r="A246" s="3" t="inlineStr">
        <is>
          <t>toan1-kntt-b33-q1</t>
        </is>
      </c>
      <c r="B246" s="3" t="inlineStr">
        <is>
          <t>Toán</t>
        </is>
      </c>
      <c r="C246" s="3" t="inlineStr">
        <is>
          <t>Kết nối tri thức</t>
        </is>
      </c>
      <c r="D246" s="3" t="inlineStr">
        <is>
          <t>Bài 33</t>
        </is>
      </c>
      <c r="E246" s="3" t="inlineStr">
        <is>
          <t>Chủ đề 8. Phép cộng, phép trừ (không nhớ) trong phạm vi 100</t>
        </is>
      </c>
      <c r="F246" s="3" t="inlineStr">
        <is>
          <t>Bài 33. Luyện tập chung</t>
        </is>
      </c>
      <c r="G246" s="3" t="inlineStr">
        <is>
          <t>Điền đáp án</t>
        </is>
      </c>
      <c r="H246" s="14" t="n">
        <v>1</v>
      </c>
      <c r="I246" s="3" t="inlineStr">
        <is>
          <t>Làm quen</t>
        </is>
      </c>
      <c r="J246" s="3" t="inlineStr">
        <is>
          <t>47 + 20 = ...</t>
        </is>
      </c>
      <c r="K246" s="3" t="inlineStr"/>
      <c r="L246" s="3" t="inlineStr">
        <is>
          <t>67</t>
        </is>
      </c>
      <c r="M246" s="3" t="inlineStr">
        <is>
          <t>7 + 0 = 7; 4 + 2 = 6. Được 67.</t>
        </is>
      </c>
      <c r="N246" s="3" t="n"/>
      <c r="O246" s="14" t="n">
        <v>40</v>
      </c>
      <c r="P246" s="14">
        <f>INDEX(Khung_cap_do!$H$2:$H$6,H246)</f>
        <v/>
      </c>
      <c r="Q246" s="3" t="inlineStr">
        <is>
          <t>T1.PT.04</t>
        </is>
      </c>
      <c r="R246" s="3" t="inlineStr">
        <is>
          <t>TOAN.TINH</t>
        </is>
      </c>
    </row>
    <row r="247">
      <c r="A247" s="3" t="inlineStr">
        <is>
          <t>toan1-kntt-b33-q2</t>
        </is>
      </c>
      <c r="B247" s="3" t="inlineStr">
        <is>
          <t>Toán</t>
        </is>
      </c>
      <c r="C247" s="3" t="inlineStr">
        <is>
          <t>Kết nối tri thức</t>
        </is>
      </c>
      <c r="D247" s="3" t="inlineStr">
        <is>
          <t>Bài 33</t>
        </is>
      </c>
      <c r="E247" s="3" t="inlineStr">
        <is>
          <t>Chủ đề 8. Phép cộng, phép trừ (không nhớ) trong phạm vi 100</t>
        </is>
      </c>
      <c r="F247" s="3" t="inlineStr">
        <is>
          <t>Bài 33. Luyện tập chung</t>
        </is>
      </c>
      <c r="G247" s="3" t="inlineStr">
        <is>
          <t>Điền đáp án</t>
        </is>
      </c>
      <c r="H247" s="14" t="n">
        <v>1</v>
      </c>
      <c r="I247" s="3" t="inlineStr">
        <is>
          <t>Làm quen</t>
        </is>
      </c>
      <c r="J247" s="3" t="inlineStr">
        <is>
          <t>97 − 56 = ...</t>
        </is>
      </c>
      <c r="K247" s="3" t="inlineStr"/>
      <c r="L247" s="3" t="inlineStr">
        <is>
          <t>41</t>
        </is>
      </c>
      <c r="M247" s="3" t="inlineStr">
        <is>
          <t>7 − 6 = 1; 9 − 5 = 4. Được 41.</t>
        </is>
      </c>
      <c r="N247" s="3" t="n"/>
      <c r="O247" s="14" t="n">
        <v>40</v>
      </c>
      <c r="P247" s="14">
        <f>INDEX(Khung_cap_do!$H$2:$H$6,H247)</f>
        <v/>
      </c>
      <c r="Q247" s="3" t="inlineStr">
        <is>
          <t>T1.PT.04</t>
        </is>
      </c>
      <c r="R247" s="3" t="inlineStr">
        <is>
          <t>TOAN.TINH</t>
        </is>
      </c>
    </row>
    <row r="248">
      <c r="A248" s="3" t="inlineStr">
        <is>
          <t>toan1-kntt-b33-q3</t>
        </is>
      </c>
      <c r="B248" s="3" t="inlineStr">
        <is>
          <t>Toán</t>
        </is>
      </c>
      <c r="C248" s="3" t="inlineStr">
        <is>
          <t>Kết nối tri thức</t>
        </is>
      </c>
      <c r="D248" s="3" t="inlineStr">
        <is>
          <t>Bài 33</t>
        </is>
      </c>
      <c r="E248" s="3" t="inlineStr">
        <is>
          <t>Chủ đề 8. Phép cộng, phép trừ (không nhớ) trong phạm vi 100</t>
        </is>
      </c>
      <c r="F248" s="3" t="inlineStr">
        <is>
          <t>Bài 33. Luyện tập chung</t>
        </is>
      </c>
      <c r="G248" s="3" t="inlineStr">
        <is>
          <t>Chọn đáp án</t>
        </is>
      </c>
      <c r="H248" s="14" t="n">
        <v>2</v>
      </c>
      <c r="I248" s="3" t="inlineStr">
        <is>
          <t>Cơ bản</t>
        </is>
      </c>
      <c r="J248" s="3" t="inlineStr">
        <is>
          <t>Bạn nào cầm thẻ có kết quả lớn nhất? Nam: 65 − 41; Mai: 89 − 60; Việt: 58 − 30.</t>
        </is>
      </c>
      <c r="K248" s="3" t="inlineStr">
        <is>
          <t>A. Nam | B. Mai | C. Việt</t>
        </is>
      </c>
      <c r="L248" s="3" t="inlineStr">
        <is>
          <t>B</t>
        </is>
      </c>
      <c r="M248" s="3" t="inlineStr">
        <is>
          <t>Nam 24, Mai 29, Việt 28: Mai lớn nhất.</t>
        </is>
      </c>
      <c r="N248" s="3" t="n"/>
      <c r="O248" s="14" t="n">
        <v>50</v>
      </c>
      <c r="P248" s="14">
        <f>INDEX(Khung_cap_do!$H$2:$H$6,H248)</f>
        <v/>
      </c>
      <c r="Q248" s="3" t="inlineStr">
        <is>
          <t>T1.PT.04</t>
        </is>
      </c>
      <c r="R248" s="3" t="inlineStr">
        <is>
          <t>TOAN.SOSANH</t>
        </is>
      </c>
    </row>
    <row r="249">
      <c r="A249" s="3" t="inlineStr">
        <is>
          <t>toan1-kntt-b33-q4</t>
        </is>
      </c>
      <c r="B249" s="3" t="inlineStr">
        <is>
          <t>Toán</t>
        </is>
      </c>
      <c r="C249" s="3" t="inlineStr">
        <is>
          <t>Kết nối tri thức</t>
        </is>
      </c>
      <c r="D249" s="3" t="inlineStr">
        <is>
          <t>Bài 33</t>
        </is>
      </c>
      <c r="E249" s="3" t="inlineStr">
        <is>
          <t>Chủ đề 8. Phép cộng, phép trừ (không nhớ) trong phạm vi 100</t>
        </is>
      </c>
      <c r="F249" s="3" t="inlineStr">
        <is>
          <t>Bài 33. Luyện tập chung</t>
        </is>
      </c>
      <c r="G249" s="3" t="inlineStr">
        <is>
          <t>Điền đáp án</t>
        </is>
      </c>
      <c r="H249" s="14" t="n">
        <v>2</v>
      </c>
      <c r="I249" s="3" t="inlineStr">
        <is>
          <t>Cơ bản</t>
        </is>
      </c>
      <c r="J249" s="3" t="inlineStr">
        <is>
          <t>Tính nhẩm: 90 − 40 = ...</t>
        </is>
      </c>
      <c r="K249" s="3" t="inlineStr"/>
      <c r="L249" s="3" t="inlineStr">
        <is>
          <t>50</t>
        </is>
      </c>
      <c r="M249" s="3" t="inlineStr">
        <is>
          <t>9 chục − 4 chục = 5 chục.</t>
        </is>
      </c>
      <c r="N249" s="3" t="n"/>
      <c r="O249" s="14" t="n">
        <v>50</v>
      </c>
      <c r="P249" s="14">
        <f>INDEX(Khung_cap_do!$H$2:$H$6,H249)</f>
        <v/>
      </c>
      <c r="Q249" s="3" t="inlineStr">
        <is>
          <t>T1.PT.05</t>
        </is>
      </c>
      <c r="R249" s="3" t="inlineStr">
        <is>
          <t>TOAN.TINH</t>
        </is>
      </c>
    </row>
    <row r="250">
      <c r="A250" s="3" t="inlineStr">
        <is>
          <t>toan1-kntt-b33-q5</t>
        </is>
      </c>
      <c r="B250" s="3" t="inlineStr">
        <is>
          <t>Toán</t>
        </is>
      </c>
      <c r="C250" s="3" t="inlineStr">
        <is>
          <t>Kết nối tri thức</t>
        </is>
      </c>
      <c r="D250" s="3" t="inlineStr">
        <is>
          <t>Bài 33</t>
        </is>
      </c>
      <c r="E250" s="3" t="inlineStr">
        <is>
          <t>Chủ đề 8. Phép cộng, phép trừ (không nhớ) trong phạm vi 100</t>
        </is>
      </c>
      <c r="F250" s="3" t="inlineStr">
        <is>
          <t>Bài 33. Luyện tập chung</t>
        </is>
      </c>
      <c r="G250" s="3" t="inlineStr">
        <is>
          <t>Điền đáp án</t>
        </is>
      </c>
      <c r="H250" s="14" t="n">
        <v>3</v>
      </c>
      <c r="I250" s="3" t="inlineStr">
        <is>
          <t>Vận dụng</t>
        </is>
      </c>
      <c r="J250" s="3" t="inlineStr">
        <is>
          <t>Trong hai ngày, tráng sĩ uống hết 49 bầu nước. Ngày thứ nhất uống 25 bầu. Hỏi ngày thứ hai uống bao nhiêu bầu nước?</t>
        </is>
      </c>
      <c r="K250" s="3" t="inlineStr"/>
      <c r="L250" s="3" t="inlineStr">
        <is>
          <t>24</t>
        </is>
      </c>
      <c r="M250" s="3" t="inlineStr">
        <is>
          <t>49 − 25 = 24 bầu nước.</t>
        </is>
      </c>
      <c r="N250" s="3" t="inlineStr">
        <is>
          <t>Hai ngày uống 49 bầu, bớt đi số bầu ngày thứ nhất (25) thì còn số bầu ngày thứ hai: 49 − 25 = 24.</t>
        </is>
      </c>
      <c r="O250" s="14" t="n">
        <v>70</v>
      </c>
      <c r="P250" s="14">
        <f>INDEX(Khung_cap_do!$H$2:$H$6,H250)</f>
        <v/>
      </c>
      <c r="Q250" s="3" t="inlineStr">
        <is>
          <t>T1.PT.07</t>
        </is>
      </c>
      <c r="R250" s="3" t="inlineStr">
        <is>
          <t>TOAN.LOIVAN</t>
        </is>
      </c>
    </row>
    <row r="251">
      <c r="A251" s="3" t="inlineStr">
        <is>
          <t>toan1-kntt-b33-q6</t>
        </is>
      </c>
      <c r="B251" s="3" t="inlineStr">
        <is>
          <t>Toán</t>
        </is>
      </c>
      <c r="C251" s="3" t="inlineStr">
        <is>
          <t>Kết nối tri thức</t>
        </is>
      </c>
      <c r="D251" s="3" t="inlineStr">
        <is>
          <t>Bài 33</t>
        </is>
      </c>
      <c r="E251" s="3" t="inlineStr">
        <is>
          <t>Chủ đề 8. Phép cộng, phép trừ (không nhớ) trong phạm vi 100</t>
        </is>
      </c>
      <c r="F251" s="3" t="inlineStr">
        <is>
          <t>Bài 33. Luyện tập chung</t>
        </is>
      </c>
      <c r="G251" s="3" t="inlineStr">
        <is>
          <t>Đúng / Sai</t>
        </is>
      </c>
      <c r="H251" s="14" t="n">
        <v>3</v>
      </c>
      <c r="I251" s="3" t="inlineStr">
        <is>
          <t>Vận dụng</t>
        </is>
      </c>
      <c r="J251" s="3" t="inlineStr">
        <is>
          <t>23 + 64 = 87. Đúng hay sai?</t>
        </is>
      </c>
      <c r="K251" s="3" t="inlineStr">
        <is>
          <t>A. Đúng | B. Sai</t>
        </is>
      </c>
      <c r="L251" s="3" t="inlineStr">
        <is>
          <t>A</t>
        </is>
      </c>
      <c r="M251" s="3" t="inlineStr">
        <is>
          <t>3 + 4 = 7; 2 + 6 = 8: 87.</t>
        </is>
      </c>
      <c r="N251" s="3" t="inlineStr">
        <is>
          <t>Đặt tính: đơn vị 3 + 4 = 7, chục 2 + 6 = 8. Kết quả 87, câu đúng.</t>
        </is>
      </c>
      <c r="O251" s="14" t="n">
        <v>50</v>
      </c>
      <c r="P251" s="14">
        <f>INDEX(Khung_cap_do!$H$2:$H$6,H251)</f>
        <v/>
      </c>
      <c r="Q251" s="3" t="inlineStr">
        <is>
          <t>T1.PT.04</t>
        </is>
      </c>
      <c r="R251" s="3" t="inlineStr">
        <is>
          <t>TOAN.DUNGSAI</t>
        </is>
      </c>
    </row>
    <row r="252">
      <c r="A252" s="3" t="inlineStr">
        <is>
          <t>toan1-kntt-b33-q7</t>
        </is>
      </c>
      <c r="B252" s="3" t="inlineStr">
        <is>
          <t>Toán</t>
        </is>
      </c>
      <c r="C252" s="3" t="inlineStr">
        <is>
          <t>Kết nối tri thức</t>
        </is>
      </c>
      <c r="D252" s="3" t="inlineStr">
        <is>
          <t>Bài 33</t>
        </is>
      </c>
      <c r="E252" s="3" t="inlineStr">
        <is>
          <t>Chủ đề 8. Phép cộng, phép trừ (không nhớ) trong phạm vi 100</t>
        </is>
      </c>
      <c r="F252" s="3" t="inlineStr">
        <is>
          <t>Bài 33. Luyện tập chung</t>
        </is>
      </c>
      <c r="G252" s="3" t="inlineStr">
        <is>
          <t>Điền đáp án</t>
        </is>
      </c>
      <c r="H252" s="14" t="n">
        <v>4</v>
      </c>
      <c r="I252" s="3" t="inlineStr">
        <is>
          <t>Thử thách</t>
        </is>
      </c>
      <c r="J252" s="3" t="inlineStr">
        <is>
          <t>Tìm số còn thiếu: ... − 24 = 35</t>
        </is>
      </c>
      <c r="K252" s="3" t="inlineStr"/>
      <c r="L252" s="3" t="inlineStr">
        <is>
          <t>59</t>
        </is>
      </c>
      <c r="M252" s="3" t="inlineStr">
        <is>
          <t>35 + 24 = 59; thử lại 59 − 24 = 35.</t>
        </is>
      </c>
      <c r="N252" s="3" t="inlineStr">
        <is>
          <t>Số bị trừ bằng hiệu cộng với số trừ: 35 + 24 = 59. Thử lại: 59 − 24 = 35.</t>
        </is>
      </c>
      <c r="O252" s="14" t="n">
        <v>70</v>
      </c>
      <c r="P252" s="14">
        <f>INDEX(Khung_cap_do!$H$2:$H$6,H252)</f>
        <v/>
      </c>
      <c r="Q252" s="3" t="inlineStr">
        <is>
          <t>T1.PT.04</t>
        </is>
      </c>
      <c r="R252" s="3" t="inlineStr">
        <is>
          <t>TOAN.SOTHIEU</t>
        </is>
      </c>
    </row>
    <row r="253">
      <c r="A253" s="3" t="inlineStr">
        <is>
          <t>toan1-kntt-b33-q8</t>
        </is>
      </c>
      <c r="B253" s="3" t="inlineStr">
        <is>
          <t>Toán</t>
        </is>
      </c>
      <c r="C253" s="3" t="inlineStr">
        <is>
          <t>Kết nối tri thức</t>
        </is>
      </c>
      <c r="D253" s="3" t="inlineStr">
        <is>
          <t>Bài 33</t>
        </is>
      </c>
      <c r="E253" s="3" t="inlineStr">
        <is>
          <t>Chủ đề 8. Phép cộng, phép trừ (không nhớ) trong phạm vi 100</t>
        </is>
      </c>
      <c r="F253" s="3" t="inlineStr">
        <is>
          <t>Bài 33. Luyện tập chung</t>
        </is>
      </c>
      <c r="G253" s="3" t="inlineStr">
        <is>
          <t>Điền đáp án</t>
        </is>
      </c>
      <c r="H253" s="14" t="n">
        <v>5</v>
      </c>
      <c r="I253" s="3" t="inlineStr">
        <is>
          <t>Mở rộng</t>
        </is>
      </c>
      <c r="J253" s="3" t="inlineStr">
        <is>
          <t>Tính: 37 + 12 − 23 = ...</t>
        </is>
      </c>
      <c r="K253" s="3" t="inlineStr"/>
      <c r="L253" s="3" t="inlineStr">
        <is>
          <t>26</t>
        </is>
      </c>
      <c r="M253" s="3" t="inlineStr">
        <is>
          <t>37 + 12 = 49; 49 − 23 = 26.</t>
        </is>
      </c>
      <c r="N253" s="3" t="inlineStr">
        <is>
          <t>Tính từ trái sang phải: 37 + 12 = 49, rồi 49 − 23 = 26.</t>
        </is>
      </c>
      <c r="O253" s="14" t="n">
        <v>85</v>
      </c>
      <c r="P253" s="14">
        <f>INDEX(Khung_cap_do!$H$2:$H$6,H253)</f>
        <v/>
      </c>
      <c r="Q253" s="3" t="inlineStr">
        <is>
          <t>T1.PT.06</t>
        </is>
      </c>
      <c r="R253" s="3" t="inlineStr">
        <is>
          <t>TOAN.TINH</t>
        </is>
      </c>
    </row>
    <row r="254">
      <c r="A254" s="3" t="inlineStr">
        <is>
          <t>toan1-kntt-b34-q1</t>
        </is>
      </c>
      <c r="B254" s="3" t="inlineStr">
        <is>
          <t>Toán</t>
        </is>
      </c>
      <c r="C254" s="3" t="inlineStr">
        <is>
          <t>Kết nối tri thức</t>
        </is>
      </c>
      <c r="D254" s="3" t="inlineStr">
        <is>
          <t>Bài 34</t>
        </is>
      </c>
      <c r="E254" s="3" t="inlineStr">
        <is>
          <t>Chủ đề 9. Thời gian, giờ và lịch</t>
        </is>
      </c>
      <c r="F254" s="3" t="inlineStr">
        <is>
          <t>Bài 34. Xem giờ đúng trên đồng hồ</t>
        </is>
      </c>
      <c r="G254" s="3" t="inlineStr">
        <is>
          <t>Chọn đáp án</t>
        </is>
      </c>
      <c r="H254" s="14" t="n">
        <v>1</v>
      </c>
      <c r="I254" s="3" t="inlineStr">
        <is>
          <t>Làm quen</t>
        </is>
      </c>
      <c r="J254" s="3" t="inlineStr">
        <is>
          <t>Kim ngắn chỉ số 6, kim dài chỉ số 12. Đồng hồ chỉ mấy giờ?</t>
        </is>
      </c>
      <c r="K254" s="3" t="inlineStr">
        <is>
          <t>A. 12 giờ | B. 6 giờ | C. 7 giờ</t>
        </is>
      </c>
      <c r="L254" s="3" t="inlineStr">
        <is>
          <t>B</t>
        </is>
      </c>
      <c r="M254" s="3" t="inlineStr">
        <is>
          <t>Kim dài chỉ 12, kim ngắn chỉ 6: 6 giờ.</t>
        </is>
      </c>
      <c r="N254" s="3" t="n"/>
      <c r="O254" s="14" t="n">
        <v>30</v>
      </c>
      <c r="P254" s="14">
        <f>INDEX(Khung_cap_do!$H$2:$H$6,H254)</f>
        <v/>
      </c>
      <c r="Q254" s="3" t="inlineStr">
        <is>
          <t>T1.HH.08</t>
        </is>
      </c>
      <c r="R254" s="3" t="inlineStr">
        <is>
          <t>TOAN.GIOLICH</t>
        </is>
      </c>
    </row>
    <row r="255">
      <c r="A255" s="3" t="inlineStr">
        <is>
          <t>toan1-kntt-b34-q2</t>
        </is>
      </c>
      <c r="B255" s="3" t="inlineStr">
        <is>
          <t>Toán</t>
        </is>
      </c>
      <c r="C255" s="3" t="inlineStr">
        <is>
          <t>Kết nối tri thức</t>
        </is>
      </c>
      <c r="D255" s="3" t="inlineStr">
        <is>
          <t>Bài 34</t>
        </is>
      </c>
      <c r="E255" s="3" t="inlineStr">
        <is>
          <t>Chủ đề 9. Thời gian, giờ và lịch</t>
        </is>
      </c>
      <c r="F255" s="3" t="inlineStr">
        <is>
          <t>Bài 34. Xem giờ đúng trên đồng hồ</t>
        </is>
      </c>
      <c r="G255" s="3" t="inlineStr">
        <is>
          <t>Chọn đáp án</t>
        </is>
      </c>
      <c r="H255" s="14" t="n">
        <v>1</v>
      </c>
      <c r="I255" s="3" t="inlineStr">
        <is>
          <t>Làm quen</t>
        </is>
      </c>
      <c r="J255" s="3" t="inlineStr">
        <is>
          <t>Trên mặt đồng hồ, kim nào chỉ giờ?</t>
        </is>
      </c>
      <c r="K255" s="3" t="inlineStr">
        <is>
          <t>A. Kim ngắn | B. Kim dài</t>
        </is>
      </c>
      <c r="L255" s="3" t="inlineStr">
        <is>
          <t>A</t>
        </is>
      </c>
      <c r="M255" s="3" t="inlineStr">
        <is>
          <t>Kim ngắn chỉ giờ, kim dài chỉ phút.</t>
        </is>
      </c>
      <c r="N255" s="3" t="n"/>
      <c r="O255" s="14" t="n">
        <v>30</v>
      </c>
      <c r="P255" s="14">
        <f>INDEX(Khung_cap_do!$H$2:$H$6,H255)</f>
        <v/>
      </c>
      <c r="Q255" s="3" t="inlineStr">
        <is>
          <t>T1.HH.08</t>
        </is>
      </c>
      <c r="R255" s="3" t="inlineStr">
        <is>
          <t>TOAN.GIOLICH</t>
        </is>
      </c>
    </row>
    <row r="256">
      <c r="A256" s="3" t="inlineStr">
        <is>
          <t>toan1-kntt-b34-q3</t>
        </is>
      </c>
      <c r="B256" s="3" t="inlineStr">
        <is>
          <t>Toán</t>
        </is>
      </c>
      <c r="C256" s="3" t="inlineStr">
        <is>
          <t>Kết nối tri thức</t>
        </is>
      </c>
      <c r="D256" s="3" t="inlineStr">
        <is>
          <t>Bài 34</t>
        </is>
      </c>
      <c r="E256" s="3" t="inlineStr">
        <is>
          <t>Chủ đề 9. Thời gian, giờ và lịch</t>
        </is>
      </c>
      <c r="F256" s="3" t="inlineStr">
        <is>
          <t>Bài 34. Xem giờ đúng trên đồng hồ</t>
        </is>
      </c>
      <c r="G256" s="3" t="inlineStr">
        <is>
          <t>Chọn đáp án</t>
        </is>
      </c>
      <c r="H256" s="14" t="n">
        <v>2</v>
      </c>
      <c r="I256" s="3" t="inlineStr">
        <is>
          <t>Cơ bản</t>
        </is>
      </c>
      <c r="J256" s="3" t="inlineStr">
        <is>
          <t>Lúc 9 giờ đúng, kim dài chỉ số mấy?</t>
        </is>
      </c>
      <c r="K256" s="3" t="inlineStr">
        <is>
          <t>A. Số 9 | B. Số 12 | C. Số 3</t>
        </is>
      </c>
      <c r="L256" s="3" t="inlineStr">
        <is>
          <t>B</t>
        </is>
      </c>
      <c r="M256" s="3" t="inlineStr">
        <is>
          <t>Giờ đúng thì kim dài luôn chỉ số 12.</t>
        </is>
      </c>
      <c r="N256" s="3" t="n"/>
      <c r="O256" s="14" t="n">
        <v>40</v>
      </c>
      <c r="P256" s="14">
        <f>INDEX(Khung_cap_do!$H$2:$H$6,H256)</f>
        <v/>
      </c>
      <c r="Q256" s="3" t="inlineStr">
        <is>
          <t>T1.HH.08</t>
        </is>
      </c>
      <c r="R256" s="3" t="inlineStr">
        <is>
          <t>TOAN.GIOLICH</t>
        </is>
      </c>
    </row>
    <row r="257">
      <c r="A257" s="3" t="inlineStr">
        <is>
          <t>toan1-kntt-b34-q4</t>
        </is>
      </c>
      <c r="B257" s="3" t="inlineStr">
        <is>
          <t>Toán</t>
        </is>
      </c>
      <c r="C257" s="3" t="inlineStr">
        <is>
          <t>Kết nối tri thức</t>
        </is>
      </c>
      <c r="D257" s="3" t="inlineStr">
        <is>
          <t>Bài 34</t>
        </is>
      </c>
      <c r="E257" s="3" t="inlineStr">
        <is>
          <t>Chủ đề 9. Thời gian, giờ và lịch</t>
        </is>
      </c>
      <c r="F257" s="3" t="inlineStr">
        <is>
          <t>Bài 34. Xem giờ đúng trên đồng hồ</t>
        </is>
      </c>
      <c r="G257" s="3" t="inlineStr">
        <is>
          <t>Chọn đáp án</t>
        </is>
      </c>
      <c r="H257" s="14" t="n">
        <v>2</v>
      </c>
      <c r="I257" s="3" t="inlineStr">
        <is>
          <t>Cơ bản</t>
        </is>
      </c>
      <c r="J257" s="3" t="inlineStr">
        <is>
          <t>Em đi ngủ lúc 9 giờ … Chọn buổi thích hợp.</t>
        </is>
      </c>
      <c r="K257" s="3" t="inlineStr">
        <is>
          <t>A. sáng | B. chiều | C. tối</t>
        </is>
      </c>
      <c r="L257" s="3" t="inlineStr">
        <is>
          <t>C</t>
        </is>
      </c>
      <c r="M257" s="3" t="inlineStr">
        <is>
          <t>Đi ngủ vào buổi tối: 9 giờ tối.</t>
        </is>
      </c>
      <c r="N257" s="3" t="n"/>
      <c r="O257" s="14" t="n">
        <v>40</v>
      </c>
      <c r="P257" s="14">
        <f>INDEX(Khung_cap_do!$H$2:$H$6,H257)</f>
        <v/>
      </c>
      <c r="Q257" s="3" t="inlineStr">
        <is>
          <t>T1.HH.08</t>
        </is>
      </c>
      <c r="R257" s="3" t="inlineStr">
        <is>
          <t>TOAN.GIOLICH</t>
        </is>
      </c>
    </row>
    <row r="258">
      <c r="A258" s="3" t="inlineStr">
        <is>
          <t>toan1-kntt-b34-q5</t>
        </is>
      </c>
      <c r="B258" s="3" t="inlineStr">
        <is>
          <t>Toán</t>
        </is>
      </c>
      <c r="C258" s="3" t="inlineStr">
        <is>
          <t>Kết nối tri thức</t>
        </is>
      </c>
      <c r="D258" s="3" t="inlineStr">
        <is>
          <t>Bài 34</t>
        </is>
      </c>
      <c r="E258" s="3" t="inlineStr">
        <is>
          <t>Chủ đề 9. Thời gian, giờ và lịch</t>
        </is>
      </c>
      <c r="F258" s="3" t="inlineStr">
        <is>
          <t>Bài 34. Xem giờ đúng trên đồng hồ</t>
        </is>
      </c>
      <c r="G258" s="3" t="inlineStr">
        <is>
          <t>Đúng / Sai</t>
        </is>
      </c>
      <c r="H258" s="14" t="n">
        <v>3</v>
      </c>
      <c r="I258" s="3" t="inlineStr">
        <is>
          <t>Vận dụng</t>
        </is>
      </c>
      <c r="J258" s="3" t="inlineStr">
        <is>
          <t>Bạn nói: "Kim ngắn và kim dài trùng nhau ở số 12 thì đồng hồ chỉ 12 giờ." Đúng hay sai?</t>
        </is>
      </c>
      <c r="K258" s="3" t="inlineStr">
        <is>
          <t>A. Đúng | B. Sai</t>
        </is>
      </c>
      <c r="L258" s="3" t="inlineStr">
        <is>
          <t>A</t>
        </is>
      </c>
      <c r="M258" s="3" t="inlineStr">
        <is>
          <t>Hai kim cùng chỉ số 12: 12 giờ.</t>
        </is>
      </c>
      <c r="N258" s="3" t="inlineStr">
        <is>
          <t>Kim dài chỉ số 12 nên là giờ đúng; kim ngắn cũng chỉ số 12 nên là 12 giờ. Câu đúng.</t>
        </is>
      </c>
      <c r="O258" s="14" t="n">
        <v>60</v>
      </c>
      <c r="P258" s="14">
        <f>INDEX(Khung_cap_do!$H$2:$H$6,H258)</f>
        <v/>
      </c>
      <c r="Q258" s="3" t="inlineStr">
        <is>
          <t>T1.HH.08</t>
        </is>
      </c>
      <c r="R258" s="3" t="inlineStr">
        <is>
          <t>TOAN.DUNGSAI</t>
        </is>
      </c>
    </row>
    <row r="259">
      <c r="A259" s="3" t="inlineStr">
        <is>
          <t>toan1-kntt-b34-q6</t>
        </is>
      </c>
      <c r="B259" s="3" t="inlineStr">
        <is>
          <t>Toán</t>
        </is>
      </c>
      <c r="C259" s="3" t="inlineStr">
        <is>
          <t>Kết nối tri thức</t>
        </is>
      </c>
      <c r="D259" s="3" t="inlineStr">
        <is>
          <t>Bài 34</t>
        </is>
      </c>
      <c r="E259" s="3" t="inlineStr">
        <is>
          <t>Chủ đề 9. Thời gian, giờ và lịch</t>
        </is>
      </c>
      <c r="F259" s="3" t="inlineStr">
        <is>
          <t>Bài 34. Xem giờ đúng trên đồng hồ</t>
        </is>
      </c>
      <c r="G259" s="3" t="inlineStr">
        <is>
          <t>Ghép cặp</t>
        </is>
      </c>
      <c r="H259" s="14" t="n">
        <v>3</v>
      </c>
      <c r="I259" s="3" t="inlineStr">
        <is>
          <t>Vận dụng</t>
        </is>
      </c>
      <c r="J259" s="3" t="inlineStr">
        <is>
          <t>Ghép việc làm với giờ phù hợp.</t>
        </is>
      </c>
      <c r="K259" s="3" t="inlineStr">
        <is>
          <t>Thức dậy ↔ ? / Ăn trưa ↔ ? / Đi ngủ ↔ ?</t>
        </is>
      </c>
      <c r="L259" s="3" t="inlineStr">
        <is>
          <t>Thức dậy – 6 giờ sáng; Ăn trưa – 11 giờ trưa; Đi ngủ – 9 giờ tối</t>
        </is>
      </c>
      <c r="M259" s="3" t="inlineStr">
        <is>
          <t>Thức dậy buổi sáng, ăn trưa buổi trưa, đi ngủ buổi tối.</t>
        </is>
      </c>
      <c r="N259" s="3" t="inlineStr">
        <is>
          <t>Nghĩ xem mỗi việc thường làm vào buổi nào: thức dậy vào sáng sớm, ăn trưa vào buổi trưa, đi ngủ vào buổi tối.</t>
        </is>
      </c>
      <c r="O259" s="14" t="n">
        <v>65</v>
      </c>
      <c r="P259" s="14">
        <f>INDEX(Khung_cap_do!$H$2:$H$6,H259)</f>
        <v/>
      </c>
      <c r="Q259" s="3" t="inlineStr">
        <is>
          <t>T1.HH.08</t>
        </is>
      </c>
      <c r="R259" s="3" t="inlineStr">
        <is>
          <t>TOAN.GIOLICH</t>
        </is>
      </c>
    </row>
    <row r="260">
      <c r="A260" s="3" t="inlineStr">
        <is>
          <t>toan1-kntt-b34-q7</t>
        </is>
      </c>
      <c r="B260" s="3" t="inlineStr">
        <is>
          <t>Toán</t>
        </is>
      </c>
      <c r="C260" s="3" t="inlineStr">
        <is>
          <t>Kết nối tri thức</t>
        </is>
      </c>
      <c r="D260" s="3" t="inlineStr">
        <is>
          <t>Bài 34</t>
        </is>
      </c>
      <c r="E260" s="3" t="inlineStr">
        <is>
          <t>Chủ đề 9. Thời gian, giờ và lịch</t>
        </is>
      </c>
      <c r="F260" s="3" t="inlineStr">
        <is>
          <t>Bài 34. Xem giờ đúng trên đồng hồ</t>
        </is>
      </c>
      <c r="G260" s="3" t="inlineStr">
        <is>
          <t>Chọn đáp án</t>
        </is>
      </c>
      <c r="H260" s="14" t="n">
        <v>4</v>
      </c>
      <c r="I260" s="3" t="inlineStr">
        <is>
          <t>Thử thách</t>
        </is>
      </c>
      <c r="J260" s="3" t="inlineStr">
        <is>
          <t>Bây giờ là 3 giờ. 2 giờ nữa là mấy giờ?</t>
        </is>
      </c>
      <c r="K260" s="3" t="inlineStr">
        <is>
          <t>A. 1 giờ | B. 5 giờ | C. 6 giờ</t>
        </is>
      </c>
      <c r="L260" s="3" t="inlineStr">
        <is>
          <t>B</t>
        </is>
      </c>
      <c r="M260" s="3" t="inlineStr">
        <is>
          <t>3 + 2 = 5: 5 giờ.</t>
        </is>
      </c>
      <c r="N260" s="3" t="inlineStr">
        <is>
          <t>Kim ngắn đang chỉ số 3, sau 2 giờ nữa tiến thêm 2 số: 3 + 2 = 5. Lúc đó là 5 giờ.</t>
        </is>
      </c>
      <c r="O260" s="14" t="n">
        <v>60</v>
      </c>
      <c r="P260" s="14">
        <f>INDEX(Khung_cap_do!$H$2:$H$6,H260)</f>
        <v/>
      </c>
      <c r="Q260" s="3" t="inlineStr">
        <is>
          <t>T1.HH.09</t>
        </is>
      </c>
      <c r="R260" s="3" t="inlineStr">
        <is>
          <t>TOAN.GIOLICH</t>
        </is>
      </c>
    </row>
    <row r="261">
      <c r="A261" s="3" t="inlineStr">
        <is>
          <t>toan1-kntt-b34-q8</t>
        </is>
      </c>
      <c r="B261" s="3" t="inlineStr">
        <is>
          <t>Toán</t>
        </is>
      </c>
      <c r="C261" s="3" t="inlineStr">
        <is>
          <t>Kết nối tri thức</t>
        </is>
      </c>
      <c r="D261" s="3" t="inlineStr">
        <is>
          <t>Bài 34</t>
        </is>
      </c>
      <c r="E261" s="3" t="inlineStr">
        <is>
          <t>Chủ đề 9. Thời gian, giờ và lịch</t>
        </is>
      </c>
      <c r="F261" s="3" t="inlineStr">
        <is>
          <t>Bài 34. Xem giờ đúng trên đồng hồ</t>
        </is>
      </c>
      <c r="G261" s="3" t="inlineStr">
        <is>
          <t>Chọn đáp án</t>
        </is>
      </c>
      <c r="H261" s="14" t="n">
        <v>5</v>
      </c>
      <c r="I261" s="3" t="inlineStr">
        <is>
          <t>Mở rộng</t>
        </is>
      </c>
      <c r="J261" s="3" t="inlineStr">
        <is>
          <t>Buổi sáng, Lan bắt đầu đi tham quan lúc 7 giờ và đi trong 3 giờ. Lan về lúc mấy giờ?</t>
        </is>
      </c>
      <c r="K261" s="3" t="inlineStr">
        <is>
          <t>A. 9 giờ | B. 10 giờ | C. 4 giờ</t>
        </is>
      </c>
      <c r="L261" s="3" t="inlineStr">
        <is>
          <t>B</t>
        </is>
      </c>
      <c r="M261" s="3" t="inlineStr">
        <is>
          <t>7 + 3 = 10: 10 giờ.</t>
        </is>
      </c>
      <c r="N261" s="3" t="inlineStr">
        <is>
          <t>Bắt đầu lúc 7 giờ, thêm 3 giờ: 7 + 3 = 10. Lan về lúc 10 giờ.</t>
        </is>
      </c>
      <c r="O261" s="14" t="n">
        <v>85</v>
      </c>
      <c r="P261" s="14">
        <f>INDEX(Khung_cap_do!$H$2:$H$6,H261)</f>
        <v/>
      </c>
      <c r="Q261" s="3" t="inlineStr">
        <is>
          <t>T1.HH.09</t>
        </is>
      </c>
      <c r="R261" s="3" t="inlineStr">
        <is>
          <t>TOAN.GIOLICH</t>
        </is>
      </c>
    </row>
    <row r="262">
      <c r="A262" s="3" t="inlineStr">
        <is>
          <t>toan1-kntt-b35-q1</t>
        </is>
      </c>
      <c r="B262" s="3" t="inlineStr">
        <is>
          <t>Toán</t>
        </is>
      </c>
      <c r="C262" s="3" t="inlineStr">
        <is>
          <t>Kết nối tri thức</t>
        </is>
      </c>
      <c r="D262" s="3" t="inlineStr">
        <is>
          <t>Bài 35</t>
        </is>
      </c>
      <c r="E262" s="3" t="inlineStr">
        <is>
          <t>Chủ đề 9. Thời gian, giờ và lịch</t>
        </is>
      </c>
      <c r="F262" s="3" t="inlineStr">
        <is>
          <t>Bài 35. Các ngày trong tuần</t>
        </is>
      </c>
      <c r="G262" s="3" t="inlineStr">
        <is>
          <t>Chọn đáp án</t>
        </is>
      </c>
      <c r="H262" s="14" t="n">
        <v>1</v>
      </c>
      <c r="I262" s="3" t="inlineStr">
        <is>
          <t>Làm quen</t>
        </is>
      </c>
      <c r="J262" s="3" t="inlineStr">
        <is>
          <t>Một tuần lễ có mấy ngày?</t>
        </is>
      </c>
      <c r="K262" s="3" t="inlineStr">
        <is>
          <t>A. 5 ngày | B. 6 ngày | C. 7 ngày</t>
        </is>
      </c>
      <c r="L262" s="3" t="inlineStr">
        <is>
          <t>C</t>
        </is>
      </c>
      <c r="M262" s="3" t="inlineStr">
        <is>
          <t>Thứ Hai đến Chủ nhật: 7 ngày.</t>
        </is>
      </c>
      <c r="N262" s="3" t="n"/>
      <c r="O262" s="14" t="n">
        <v>30</v>
      </c>
      <c r="P262" s="14">
        <f>INDEX(Khung_cap_do!$H$2:$H$6,H262)</f>
        <v/>
      </c>
      <c r="Q262" s="3" t="inlineStr">
        <is>
          <t>T1.HH.07</t>
        </is>
      </c>
      <c r="R262" s="3" t="inlineStr">
        <is>
          <t>TOAN.GIOLICH</t>
        </is>
      </c>
    </row>
    <row r="263">
      <c r="A263" s="3" t="inlineStr">
        <is>
          <t>toan1-kntt-b35-q2</t>
        </is>
      </c>
      <c r="B263" s="3" t="inlineStr">
        <is>
          <t>Toán</t>
        </is>
      </c>
      <c r="C263" s="3" t="inlineStr">
        <is>
          <t>Kết nối tri thức</t>
        </is>
      </c>
      <c r="D263" s="3" t="inlineStr">
        <is>
          <t>Bài 35</t>
        </is>
      </c>
      <c r="E263" s="3" t="inlineStr">
        <is>
          <t>Chủ đề 9. Thời gian, giờ và lịch</t>
        </is>
      </c>
      <c r="F263" s="3" t="inlineStr">
        <is>
          <t>Bài 35. Các ngày trong tuần</t>
        </is>
      </c>
      <c r="G263" s="3" t="inlineStr">
        <is>
          <t>Chọn đáp án</t>
        </is>
      </c>
      <c r="H263" s="14" t="n">
        <v>1</v>
      </c>
      <c r="I263" s="3" t="inlineStr">
        <is>
          <t>Làm quen</t>
        </is>
      </c>
      <c r="J263" s="3" t="inlineStr">
        <is>
          <t>Ngày đứng ngay sau thứ Tư là ngày nào?</t>
        </is>
      </c>
      <c r="K263" s="3" t="inlineStr">
        <is>
          <t>A. Thứ Ba | B. Thứ Năm | C. Thứ Sáu</t>
        </is>
      </c>
      <c r="L263" s="3" t="inlineStr">
        <is>
          <t>B</t>
        </is>
      </c>
      <c r="M263" s="3" t="inlineStr">
        <is>
          <t>Thứ Tư rồi đến thứ Năm.</t>
        </is>
      </c>
      <c r="N263" s="3" t="n"/>
      <c r="O263" s="14" t="n">
        <v>30</v>
      </c>
      <c r="P263" s="14">
        <f>INDEX(Khung_cap_do!$H$2:$H$6,H263)</f>
        <v/>
      </c>
      <c r="Q263" s="3" t="inlineStr">
        <is>
          <t>T1.HH.07</t>
        </is>
      </c>
      <c r="R263" s="3" t="inlineStr">
        <is>
          <t>TOAN.GIOLICH</t>
        </is>
      </c>
    </row>
    <row r="264">
      <c r="A264" s="3" t="inlineStr">
        <is>
          <t>toan1-kntt-b35-q3</t>
        </is>
      </c>
      <c r="B264" s="3" t="inlineStr">
        <is>
          <t>Toán</t>
        </is>
      </c>
      <c r="C264" s="3" t="inlineStr">
        <is>
          <t>Kết nối tri thức</t>
        </is>
      </c>
      <c r="D264" s="3" t="inlineStr">
        <is>
          <t>Bài 35</t>
        </is>
      </c>
      <c r="E264" s="3" t="inlineStr">
        <is>
          <t>Chủ đề 9. Thời gian, giờ và lịch</t>
        </is>
      </c>
      <c r="F264" s="3" t="inlineStr">
        <is>
          <t>Bài 35. Các ngày trong tuần</t>
        </is>
      </c>
      <c r="G264" s="3" t="inlineStr">
        <is>
          <t>Chọn đáp án</t>
        </is>
      </c>
      <c r="H264" s="14" t="n">
        <v>2</v>
      </c>
      <c r="I264" s="3" t="inlineStr">
        <is>
          <t>Cơ bản</t>
        </is>
      </c>
      <c r="J264" s="3" t="inlineStr">
        <is>
          <t>Hôm nay là thứ Sáu. Ngày mai là ngày nào?</t>
        </is>
      </c>
      <c r="K264" s="3" t="inlineStr">
        <is>
          <t>A. Thứ Năm | B. Thứ Bảy | C. Chủ nhật</t>
        </is>
      </c>
      <c r="L264" s="3" t="inlineStr">
        <is>
          <t>B</t>
        </is>
      </c>
      <c r="M264" s="3" t="inlineStr">
        <is>
          <t>Ngày mai là ngày ngay sau hôm nay: thứ Bảy.</t>
        </is>
      </c>
      <c r="N264" s="3" t="n"/>
      <c r="O264" s="14" t="n">
        <v>40</v>
      </c>
      <c r="P264" s="14">
        <f>INDEX(Khung_cap_do!$H$2:$H$6,H264)</f>
        <v/>
      </c>
      <c r="Q264" s="3" t="inlineStr">
        <is>
          <t>T1.HH.07</t>
        </is>
      </c>
      <c r="R264" s="3" t="inlineStr">
        <is>
          <t>TOAN.GIOLICH</t>
        </is>
      </c>
    </row>
    <row r="265">
      <c r="A265" s="3" t="inlineStr">
        <is>
          <t>toan1-kntt-b35-q4</t>
        </is>
      </c>
      <c r="B265" s="3" t="inlineStr">
        <is>
          <t>Toán</t>
        </is>
      </c>
      <c r="C265" s="3" t="inlineStr">
        <is>
          <t>Kết nối tri thức</t>
        </is>
      </c>
      <c r="D265" s="3" t="inlineStr">
        <is>
          <t>Bài 35</t>
        </is>
      </c>
      <c r="E265" s="3" t="inlineStr">
        <is>
          <t>Chủ đề 9. Thời gian, giờ và lịch</t>
        </is>
      </c>
      <c r="F265" s="3" t="inlineStr">
        <is>
          <t>Bài 35. Các ngày trong tuần</t>
        </is>
      </c>
      <c r="G265" s="3" t="inlineStr">
        <is>
          <t>Chọn đáp án</t>
        </is>
      </c>
      <c r="H265" s="14" t="n">
        <v>2</v>
      </c>
      <c r="I265" s="3" t="inlineStr">
        <is>
          <t>Cơ bản</t>
        </is>
      </c>
      <c r="J265" s="3" t="inlineStr">
        <is>
          <t>Hôm nay là thứ Hai. Hôm qua là ngày nào?</t>
        </is>
      </c>
      <c r="K265" s="3" t="inlineStr">
        <is>
          <t>A. Chủ nhật | B. Thứ Ba | C. Thứ Bảy</t>
        </is>
      </c>
      <c r="L265" s="3" t="inlineStr">
        <is>
          <t>A</t>
        </is>
      </c>
      <c r="M265" s="3" t="inlineStr">
        <is>
          <t>Trước thứ Hai là Chủ nhật (của tuần trước).</t>
        </is>
      </c>
      <c r="N265" s="3" t="n"/>
      <c r="O265" s="14" t="n">
        <v>40</v>
      </c>
      <c r="P265" s="14">
        <f>INDEX(Khung_cap_do!$H$2:$H$6,H265)</f>
        <v/>
      </c>
      <c r="Q265" s="3" t="inlineStr">
        <is>
          <t>T1.HH.07</t>
        </is>
      </c>
      <c r="R265" s="3" t="inlineStr">
        <is>
          <t>TOAN.GIOLICH</t>
        </is>
      </c>
    </row>
    <row r="266">
      <c r="A266" s="3" t="inlineStr">
        <is>
          <t>toan1-kntt-b35-q5</t>
        </is>
      </c>
      <c r="B266" s="3" t="inlineStr">
        <is>
          <t>Toán</t>
        </is>
      </c>
      <c r="C266" s="3" t="inlineStr">
        <is>
          <t>Kết nối tri thức</t>
        </is>
      </c>
      <c r="D266" s="3" t="inlineStr">
        <is>
          <t>Bài 35</t>
        </is>
      </c>
      <c r="E266" s="3" t="inlineStr">
        <is>
          <t>Chủ đề 9. Thời gian, giờ và lịch</t>
        </is>
      </c>
      <c r="F266" s="3" t="inlineStr">
        <is>
          <t>Bài 35. Các ngày trong tuần</t>
        </is>
      </c>
      <c r="G266" s="3" t="inlineStr">
        <is>
          <t>Sắp xếp</t>
        </is>
      </c>
      <c r="H266" s="14" t="n">
        <v>3</v>
      </c>
      <c r="I266" s="3" t="inlineStr">
        <is>
          <t>Vận dụng</t>
        </is>
      </c>
      <c r="J266" s="3" t="inlineStr">
        <is>
          <t>Xếp các ngày theo đúng thứ tự trong tuần.</t>
        </is>
      </c>
      <c r="K266" s="3" t="inlineStr">
        <is>
          <t>Thứ Ba / Thứ Năm / Thứ Sáu / Thứ Tư</t>
        </is>
      </c>
      <c r="L266" s="3" t="inlineStr">
        <is>
          <t>Thứ Ba → Thứ Tư → Thứ Năm → Thứ Sáu</t>
        </is>
      </c>
      <c r="M266" s="3" t="inlineStr">
        <is>
          <t>Thứ Ba, thứ Tư, thứ Năm, thứ Sáu.</t>
        </is>
      </c>
      <c r="N266" s="3" t="inlineStr">
        <is>
          <t>Thứ tự trong tuần: thứ Hai, thứ Ba, thứ Tư, thứ Năm, thứ Sáu, thứ Bảy, Chủ nhật.</t>
        </is>
      </c>
      <c r="O266" s="14" t="n">
        <v>65</v>
      </c>
      <c r="P266" s="14">
        <f>INDEX(Khung_cap_do!$H$2:$H$6,H266)</f>
        <v/>
      </c>
      <c r="Q266" s="3" t="inlineStr">
        <is>
          <t>T1.HH.07</t>
        </is>
      </c>
      <c r="R266" s="3" t="inlineStr">
        <is>
          <t>TOAN.SAPXEP</t>
        </is>
      </c>
    </row>
    <row r="267">
      <c r="A267" s="3" t="inlineStr">
        <is>
          <t>toan1-kntt-b35-q6</t>
        </is>
      </c>
      <c r="B267" s="3" t="inlineStr">
        <is>
          <t>Toán</t>
        </is>
      </c>
      <c r="C267" s="3" t="inlineStr">
        <is>
          <t>Kết nối tri thức</t>
        </is>
      </c>
      <c r="D267" s="3" t="inlineStr">
        <is>
          <t>Bài 35</t>
        </is>
      </c>
      <c r="E267" s="3" t="inlineStr">
        <is>
          <t>Chủ đề 9. Thời gian, giờ và lịch</t>
        </is>
      </c>
      <c r="F267" s="3" t="inlineStr">
        <is>
          <t>Bài 35. Các ngày trong tuần</t>
        </is>
      </c>
      <c r="G267" s="3" t="inlineStr">
        <is>
          <t>Điền đáp án</t>
        </is>
      </c>
      <c r="H267" s="14" t="n">
        <v>3</v>
      </c>
      <c r="I267" s="3" t="inlineStr">
        <is>
          <t>Vận dụng</t>
        </is>
      </c>
      <c r="J267" s="3" t="inlineStr">
        <is>
          <t>Em đi học từ thứ Hai đến thứ Sáu. Mỗi tuần em đi học mấy ngày?</t>
        </is>
      </c>
      <c r="K267" s="3" t="inlineStr"/>
      <c r="L267" s="3" t="inlineStr">
        <is>
          <t>5</t>
        </is>
      </c>
      <c r="M267" s="3" t="inlineStr">
        <is>
          <t>Thứ Hai, Ba, Tư, Năm, Sáu: 5 ngày.</t>
        </is>
      </c>
      <c r="N267" s="3" t="inlineStr">
        <is>
          <t>Đếm từ thứ Hai đến thứ Sáu: thứ Hai (1), thứ Ba (2), thứ Tư (3), thứ Năm (4), thứ Sáu (5). Có 5 ngày.</t>
        </is>
      </c>
      <c r="O267" s="14" t="n">
        <v>70</v>
      </c>
      <c r="P267" s="14">
        <f>INDEX(Khung_cap_do!$H$2:$H$6,H267)</f>
        <v/>
      </c>
      <c r="Q267" s="3" t="inlineStr">
        <is>
          <t>T1.HH.07</t>
        </is>
      </c>
      <c r="R267" s="3" t="inlineStr">
        <is>
          <t>TOAN.GIOLICH</t>
        </is>
      </c>
    </row>
    <row r="268">
      <c r="A268" s="3" t="inlineStr">
        <is>
          <t>toan1-kntt-b35-q7</t>
        </is>
      </c>
      <c r="B268" s="3" t="inlineStr">
        <is>
          <t>Toán</t>
        </is>
      </c>
      <c r="C268" s="3" t="inlineStr">
        <is>
          <t>Kết nối tri thức</t>
        </is>
      </c>
      <c r="D268" s="3" t="inlineStr">
        <is>
          <t>Bài 35</t>
        </is>
      </c>
      <c r="E268" s="3" t="inlineStr">
        <is>
          <t>Chủ đề 9. Thời gian, giờ và lịch</t>
        </is>
      </c>
      <c r="F268" s="3" t="inlineStr">
        <is>
          <t>Bài 35. Các ngày trong tuần</t>
        </is>
      </c>
      <c r="G268" s="3" t="inlineStr">
        <is>
          <t>Chọn đáp án</t>
        </is>
      </c>
      <c r="H268" s="14" t="n">
        <v>4</v>
      </c>
      <c r="I268" s="3" t="inlineStr">
        <is>
          <t>Thử thách</t>
        </is>
      </c>
      <c r="J268" s="3" t="inlineStr">
        <is>
          <t>Hôm nay là thứ Năm. Hỏi 3 ngày nữa là ngày nào?</t>
        </is>
      </c>
      <c r="K268" s="3" t="inlineStr">
        <is>
          <t>A. Thứ Bảy | B. Chủ nhật | C. Thứ Hai</t>
        </is>
      </c>
      <c r="L268" s="3" t="inlineStr">
        <is>
          <t>B</t>
        </is>
      </c>
      <c r="M268" s="3" t="inlineStr">
        <is>
          <t>Đếm tiếp: thứ Sáu, thứ Bảy, Chủ nhật.</t>
        </is>
      </c>
      <c r="N268" s="3" t="inlineStr">
        <is>
          <t>Đếm tiếp từ thứ Năm: 1 ngày nữa là thứ Sáu, 2 ngày nữa là thứ Bảy, 3 ngày nữa là Chủ nhật.</t>
        </is>
      </c>
      <c r="O268" s="14" t="n">
        <v>60</v>
      </c>
      <c r="P268" s="14">
        <f>INDEX(Khung_cap_do!$H$2:$H$6,H268)</f>
        <v/>
      </c>
      <c r="Q268" s="3" t="inlineStr">
        <is>
          <t>T1.HH.07</t>
        </is>
      </c>
      <c r="R268" s="3" t="inlineStr">
        <is>
          <t>TOAN.GIOLICH</t>
        </is>
      </c>
    </row>
    <row r="269">
      <c r="A269" s="3" t="inlineStr">
        <is>
          <t>toan1-kntt-b35-q8</t>
        </is>
      </c>
      <c r="B269" s="3" t="inlineStr">
        <is>
          <t>Toán</t>
        </is>
      </c>
      <c r="C269" s="3" t="inlineStr">
        <is>
          <t>Kết nối tri thức</t>
        </is>
      </c>
      <c r="D269" s="3" t="inlineStr">
        <is>
          <t>Bài 35</t>
        </is>
      </c>
      <c r="E269" s="3" t="inlineStr">
        <is>
          <t>Chủ đề 9. Thời gian, giờ và lịch</t>
        </is>
      </c>
      <c r="F269" s="3" t="inlineStr">
        <is>
          <t>Bài 35. Các ngày trong tuần</t>
        </is>
      </c>
      <c r="G269" s="3" t="inlineStr">
        <is>
          <t>Chọn đáp án</t>
        </is>
      </c>
      <c r="H269" s="14" t="n">
        <v>5</v>
      </c>
      <c r="I269" s="3" t="inlineStr">
        <is>
          <t>Mở rộng</t>
        </is>
      </c>
      <c r="J269" s="3" t="inlineStr">
        <is>
          <t>Nếu hôm qua là thứ Ba thì ngày mai là ngày nào?</t>
        </is>
      </c>
      <c r="K269" s="3" t="inlineStr">
        <is>
          <t>A. Thứ Tư | B. Thứ Năm | C. Thứ Sáu</t>
        </is>
      </c>
      <c r="L269" s="3" t="inlineStr">
        <is>
          <t>B</t>
        </is>
      </c>
      <c r="M269" s="3" t="inlineStr">
        <is>
          <t>Hôm qua thứ Ba → hôm nay thứ Tư → ngày mai thứ Năm.</t>
        </is>
      </c>
      <c r="N269" s="3" t="inlineStr">
        <is>
          <t>Hôm qua là thứ Ba thì hôm nay là thứ Tư. Ngày mai là ngày ngay sau hôm nay: thứ Năm.</t>
        </is>
      </c>
      <c r="O269" s="14" t="n">
        <v>75</v>
      </c>
      <c r="P269" s="14">
        <f>INDEX(Khung_cap_do!$H$2:$H$6,H269)</f>
        <v/>
      </c>
      <c r="Q269" s="3" t="inlineStr">
        <is>
          <t>T1.HH.07</t>
        </is>
      </c>
      <c r="R269" s="3" t="inlineStr">
        <is>
          <t>TOAN.GIOLICH</t>
        </is>
      </c>
    </row>
    <row r="270">
      <c r="A270" s="3" t="inlineStr">
        <is>
          <t>toan1-kntt-b36-q1</t>
        </is>
      </c>
      <c r="B270" s="3" t="inlineStr">
        <is>
          <t>Toán</t>
        </is>
      </c>
      <c r="C270" s="3" t="inlineStr">
        <is>
          <t>Kết nối tri thức</t>
        </is>
      </c>
      <c r="D270" s="3" t="inlineStr">
        <is>
          <t>Bài 36</t>
        </is>
      </c>
      <c r="E270" s="3" t="inlineStr">
        <is>
          <t>Chủ đề 9. Thời gian, giờ và lịch</t>
        </is>
      </c>
      <c r="F270" s="3" t="inlineStr">
        <is>
          <t>Bài 36. Thực hành xem lịch và giờ</t>
        </is>
      </c>
      <c r="G270" s="3" t="inlineStr">
        <is>
          <t>Chọn đáp án</t>
        </is>
      </c>
      <c r="H270" s="14" t="n">
        <v>1</v>
      </c>
      <c r="I270" s="3" t="inlineStr">
        <is>
          <t>Làm quen</t>
        </is>
      </c>
      <c r="J270" s="3" t="inlineStr">
        <is>
          <t>Tờ lịch ghi: "Tháng 5 — 7 — Thứ Hai". Hôm đó là thứ mấy?</t>
        </is>
      </c>
      <c r="K270" s="3" t="inlineStr">
        <is>
          <t>A. Thứ Hai | B. Thứ Bảy | C. Thứ Năm</t>
        </is>
      </c>
      <c r="L270" s="3" t="inlineStr">
        <is>
          <t>A</t>
        </is>
      </c>
      <c r="M270" s="3" t="inlineStr">
        <is>
          <t>Dòng dưới tờ lịch ghi thứ: thứ Hai.</t>
        </is>
      </c>
      <c r="N270" s="3" t="n"/>
      <c r="O270" s="14" t="n">
        <v>30</v>
      </c>
      <c r="P270" s="14">
        <f>INDEX(Khung_cap_do!$H$2:$H$6,H270)</f>
        <v/>
      </c>
      <c r="Q270" s="3" t="inlineStr">
        <is>
          <t>T1.HH.08</t>
        </is>
      </c>
      <c r="R270" s="3" t="inlineStr">
        <is>
          <t>TOAN.GIOLICH</t>
        </is>
      </c>
    </row>
    <row r="271">
      <c r="A271" s="3" t="inlineStr">
        <is>
          <t>toan1-kntt-b36-q2</t>
        </is>
      </c>
      <c r="B271" s="3" t="inlineStr">
        <is>
          <t>Toán</t>
        </is>
      </c>
      <c r="C271" s="3" t="inlineStr">
        <is>
          <t>Kết nối tri thức</t>
        </is>
      </c>
      <c r="D271" s="3" t="inlineStr">
        <is>
          <t>Bài 36</t>
        </is>
      </c>
      <c r="E271" s="3" t="inlineStr">
        <is>
          <t>Chủ đề 9. Thời gian, giờ và lịch</t>
        </is>
      </c>
      <c r="F271" s="3" t="inlineStr">
        <is>
          <t>Bài 36. Thực hành xem lịch và giờ</t>
        </is>
      </c>
      <c r="G271" s="3" t="inlineStr">
        <is>
          <t>Chọn đáp án</t>
        </is>
      </c>
      <c r="H271" s="14" t="n">
        <v>1</v>
      </c>
      <c r="I271" s="3" t="inlineStr">
        <is>
          <t>Làm quen</t>
        </is>
      </c>
      <c r="J271" s="3" t="inlineStr">
        <is>
          <t>Tờ lịch ghi: "Tháng 5 — 7 — Thứ Hai". Hôm đó là ngày bao nhiêu?</t>
        </is>
      </c>
      <c r="K271" s="3" t="inlineStr">
        <is>
          <t>A. Ngày 5 | B. Ngày 7 | C. Ngày 2</t>
        </is>
      </c>
      <c r="L271" s="3" t="inlineStr">
        <is>
          <t>B</t>
        </is>
      </c>
      <c r="M271" s="3" t="inlineStr">
        <is>
          <t>Số to ở giữa tờ lịch là ngày: ngày 7.</t>
        </is>
      </c>
      <c r="N271" s="3" t="n"/>
      <c r="O271" s="14" t="n">
        <v>40</v>
      </c>
      <c r="P271" s="14">
        <f>INDEX(Khung_cap_do!$H$2:$H$6,H271)</f>
        <v/>
      </c>
      <c r="Q271" s="3" t="inlineStr">
        <is>
          <t>T1.HH.08</t>
        </is>
      </c>
      <c r="R271" s="3" t="inlineStr">
        <is>
          <t>TOAN.GIOLICH</t>
        </is>
      </c>
    </row>
    <row r="272">
      <c r="A272" s="3" t="inlineStr">
        <is>
          <t>toan1-kntt-b36-q3</t>
        </is>
      </c>
      <c r="B272" s="3" t="inlineStr">
        <is>
          <t>Toán</t>
        </is>
      </c>
      <c r="C272" s="3" t="inlineStr">
        <is>
          <t>Kết nối tri thức</t>
        </is>
      </c>
      <c r="D272" s="3" t="inlineStr">
        <is>
          <t>Bài 36</t>
        </is>
      </c>
      <c r="E272" s="3" t="inlineStr">
        <is>
          <t>Chủ đề 9. Thời gian, giờ và lịch</t>
        </is>
      </c>
      <c r="F272" s="3" t="inlineStr">
        <is>
          <t>Bài 36. Thực hành xem lịch và giờ</t>
        </is>
      </c>
      <c r="G272" s="3" t="inlineStr">
        <is>
          <t>Chọn đáp án</t>
        </is>
      </c>
      <c r="H272" s="14" t="n">
        <v>2</v>
      </c>
      <c r="I272" s="3" t="inlineStr">
        <is>
          <t>Cơ bản</t>
        </is>
      </c>
      <c r="J272" s="3" t="inlineStr">
        <is>
          <t>Hôm nay là thứ Hai, ngày 7. Ngày mai là:</t>
        </is>
      </c>
      <c r="K272" s="3" t="inlineStr">
        <is>
          <t>A. Thứ Ba, ngày 8 | B. Thứ Ba, ngày 6 | C. Chủ nhật, ngày 8</t>
        </is>
      </c>
      <c r="L272" s="3" t="inlineStr">
        <is>
          <t>A</t>
        </is>
      </c>
      <c r="M272" s="3" t="inlineStr">
        <is>
          <t>Ngày mai: thứ tiếp theo (thứ Ba), ngày thêm 1 (ngày 8).</t>
        </is>
      </c>
      <c r="N272" s="3" t="n"/>
      <c r="O272" s="14" t="n">
        <v>40</v>
      </c>
      <c r="P272" s="14">
        <f>INDEX(Khung_cap_do!$H$2:$H$6,H272)</f>
        <v/>
      </c>
      <c r="Q272" s="3" t="inlineStr">
        <is>
          <t>T1.HH.08</t>
        </is>
      </c>
      <c r="R272" s="3" t="inlineStr">
        <is>
          <t>TOAN.GIOLICH</t>
        </is>
      </c>
    </row>
    <row r="273">
      <c r="A273" s="3" t="inlineStr">
        <is>
          <t>toan1-kntt-b36-q4</t>
        </is>
      </c>
      <c r="B273" s="3" t="inlineStr">
        <is>
          <t>Toán</t>
        </is>
      </c>
      <c r="C273" s="3" t="inlineStr">
        <is>
          <t>Kết nối tri thức</t>
        </is>
      </c>
      <c r="D273" s="3" t="inlineStr">
        <is>
          <t>Bài 36</t>
        </is>
      </c>
      <c r="E273" s="3" t="inlineStr">
        <is>
          <t>Chủ đề 9. Thời gian, giờ và lịch</t>
        </is>
      </c>
      <c r="F273" s="3" t="inlineStr">
        <is>
          <t>Bài 36. Thực hành xem lịch và giờ</t>
        </is>
      </c>
      <c r="G273" s="3" t="inlineStr">
        <is>
          <t>Điền đáp án</t>
        </is>
      </c>
      <c r="H273" s="14" t="n">
        <v>3</v>
      </c>
      <c r="I273" s="3" t="inlineStr">
        <is>
          <t>Vận dụng</t>
        </is>
      </c>
      <c r="J273" s="3" t="inlineStr">
        <is>
          <t>Trong một tuần, thứ Ba là ngày 22. Hỏi thứ Năm tuần đó là ngày bao nhiêu? (chỉ viết số)</t>
        </is>
      </c>
      <c r="K273" s="3" t="inlineStr"/>
      <c r="L273" s="3" t="inlineStr">
        <is>
          <t>24</t>
        </is>
      </c>
      <c r="M273" s="3" t="inlineStr">
        <is>
          <t>Thứ Tư ngày 23, thứ Năm ngày 24.</t>
        </is>
      </c>
      <c r="N273" s="3" t="inlineStr">
        <is>
          <t>Mỗi ngày tiếp theo thì số ngày thêm 1: thứ Ba 22, thứ Tư 23, thứ Năm 24.</t>
        </is>
      </c>
      <c r="O273" s="14" t="n">
        <v>70</v>
      </c>
      <c r="P273" s="14">
        <f>INDEX(Khung_cap_do!$H$2:$H$6,H273)</f>
        <v/>
      </c>
      <c r="Q273" s="3" t="inlineStr">
        <is>
          <t>T1.HH.09</t>
        </is>
      </c>
      <c r="R273" s="3" t="inlineStr">
        <is>
          <t>TOAN.GIOLICH</t>
        </is>
      </c>
    </row>
    <row r="274">
      <c r="A274" s="3" t="inlineStr">
        <is>
          <t>toan1-kntt-b36-q5</t>
        </is>
      </c>
      <c r="B274" s="3" t="inlineStr">
        <is>
          <t>Toán</t>
        </is>
      </c>
      <c r="C274" s="3" t="inlineStr">
        <is>
          <t>Kết nối tri thức</t>
        </is>
      </c>
      <c r="D274" s="3" t="inlineStr">
        <is>
          <t>Bài 36</t>
        </is>
      </c>
      <c r="E274" s="3" t="inlineStr">
        <is>
          <t>Chủ đề 9. Thời gian, giờ và lịch</t>
        </is>
      </c>
      <c r="F274" s="3" t="inlineStr">
        <is>
          <t>Bài 36. Thực hành xem lịch và giờ</t>
        </is>
      </c>
      <c r="G274" s="3" t="inlineStr">
        <is>
          <t>Chọn đáp án</t>
        </is>
      </c>
      <c r="H274" s="14" t="n">
        <v>3</v>
      </c>
      <c r="I274" s="3" t="inlineStr">
        <is>
          <t>Vận dụng</t>
        </is>
      </c>
      <c r="J274" s="3" t="inlineStr">
        <is>
          <t>Mai xé tờ lịch hôm qua là ngày 16. Hôm nay là ngày bao nhiêu?</t>
        </is>
      </c>
      <c r="K274" s="3" t="inlineStr">
        <is>
          <t>A. Ngày 15 | B. Ngày 17 | C. Ngày 18</t>
        </is>
      </c>
      <c r="L274" s="3" t="inlineStr">
        <is>
          <t>B</t>
        </is>
      </c>
      <c r="M274" s="3" t="inlineStr">
        <is>
          <t>Hôm qua ngày 16 thì hôm nay ngày 17.</t>
        </is>
      </c>
      <c r="N274" s="3" t="inlineStr">
        <is>
          <t>Hôm nay là ngày ngay sau hôm qua nên số ngày thêm 1: 16 + 1 = 17.</t>
        </is>
      </c>
      <c r="O274" s="14" t="n">
        <v>60</v>
      </c>
      <c r="P274" s="14">
        <f>INDEX(Khung_cap_do!$H$2:$H$6,H274)</f>
        <v/>
      </c>
      <c r="Q274" s="3" t="inlineStr">
        <is>
          <t>T1.HH.08</t>
        </is>
      </c>
      <c r="R274" s="3" t="inlineStr">
        <is>
          <t>TOAN.GIOLICH</t>
        </is>
      </c>
    </row>
    <row r="275">
      <c r="A275" s="3" t="inlineStr">
        <is>
          <t>toan1-kntt-b36-q6</t>
        </is>
      </c>
      <c r="B275" s="3" t="inlineStr">
        <is>
          <t>Toán</t>
        </is>
      </c>
      <c r="C275" s="3" t="inlineStr">
        <is>
          <t>Kết nối tri thức</t>
        </is>
      </c>
      <c r="D275" s="3" t="inlineStr">
        <is>
          <t>Bài 36</t>
        </is>
      </c>
      <c r="E275" s="3" t="inlineStr">
        <is>
          <t>Chủ đề 9. Thời gian, giờ và lịch</t>
        </is>
      </c>
      <c r="F275" s="3" t="inlineStr">
        <is>
          <t>Bài 36. Thực hành xem lịch và giờ</t>
        </is>
      </c>
      <c r="G275" s="3" t="inlineStr">
        <is>
          <t>Chọn đáp án</t>
        </is>
      </c>
      <c r="H275" s="14" t="n">
        <v>4</v>
      </c>
      <c r="I275" s="3" t="inlineStr">
        <is>
          <t>Thử thách</t>
        </is>
      </c>
      <c r="J275" s="3" t="inlineStr">
        <is>
          <t>Chuyến bay Hà Nội – Đà Nẵng khởi hành lúc 7 giờ. Đồng hồ nào chỉ đúng giờ đó?</t>
        </is>
      </c>
      <c r="K275" s="3" t="inlineStr">
        <is>
          <t>A. Kim ngắn chỉ số 7, kim dài chỉ số 12 | B. Kim ngắn chỉ số 12, kim dài chỉ số 7 | C. Kim ngắn chỉ số 5, kim dài chỉ số 12</t>
        </is>
      </c>
      <c r="L275" s="3" t="inlineStr">
        <is>
          <t>A</t>
        </is>
      </c>
      <c r="M275" s="3" t="inlineStr">
        <is>
          <t>7 giờ: kim ngắn chỉ 7, kim dài chỉ 12.</t>
        </is>
      </c>
      <c r="N275" s="3" t="inlineStr">
        <is>
          <t>Giờ đúng thì kim dài chỉ số 12; kim ngắn chỉ số giờ. 7 giờ thì kim ngắn chỉ số 7.</t>
        </is>
      </c>
      <c r="O275" s="14" t="n">
        <v>70</v>
      </c>
      <c r="P275" s="14">
        <f>INDEX(Khung_cap_do!$H$2:$H$6,H275)</f>
        <v/>
      </c>
      <c r="Q275" s="3" t="inlineStr">
        <is>
          <t>T1.HH.08</t>
        </is>
      </c>
      <c r="R275" s="3" t="inlineStr">
        <is>
          <t>TOAN.GIOLICH</t>
        </is>
      </c>
    </row>
    <row r="276">
      <c r="A276" s="3" t="inlineStr">
        <is>
          <t>toan1-kntt-b36-q7</t>
        </is>
      </c>
      <c r="B276" s="3" t="inlineStr">
        <is>
          <t>Toán</t>
        </is>
      </c>
      <c r="C276" s="3" t="inlineStr">
        <is>
          <t>Kết nối tri thức</t>
        </is>
      </c>
      <c r="D276" s="3" t="inlineStr">
        <is>
          <t>Bài 36</t>
        </is>
      </c>
      <c r="E276" s="3" t="inlineStr">
        <is>
          <t>Chủ đề 9. Thời gian, giờ và lịch</t>
        </is>
      </c>
      <c r="F276" s="3" t="inlineStr">
        <is>
          <t>Bài 36. Thực hành xem lịch và giờ</t>
        </is>
      </c>
      <c r="G276" s="3" t="inlineStr">
        <is>
          <t>Chọn đáp án</t>
        </is>
      </c>
      <c r="H276" s="14" t="n">
        <v>5</v>
      </c>
      <c r="I276" s="3" t="inlineStr">
        <is>
          <t>Mở rộng</t>
        </is>
      </c>
      <c r="J276" s="3" t="inlineStr">
        <is>
          <t>Nếu thứ Ba là ngày 11 thì thứ Sáu tuần đó là:</t>
        </is>
      </c>
      <c r="K276" s="3" t="inlineStr">
        <is>
          <t>A. Ngày 13 | B. Ngày 14 | C. Ngày 15</t>
        </is>
      </c>
      <c r="L276" s="3" t="inlineStr">
        <is>
          <t>B</t>
        </is>
      </c>
      <c r="M276" s="3" t="inlineStr">
        <is>
          <t>Thứ Tư 12, thứ Năm 13, thứ Sáu 14.</t>
        </is>
      </c>
      <c r="N276" s="3" t="inlineStr">
        <is>
          <t>Từ thứ Ba đến thứ Sáu là 3 ngày nữa: 11 + 3 = 14. Thứ Sáu là ngày 14.</t>
        </is>
      </c>
      <c r="O276" s="14" t="n">
        <v>75</v>
      </c>
      <c r="P276" s="14">
        <f>INDEX(Khung_cap_do!$H$2:$H$6,H276)</f>
        <v/>
      </c>
      <c r="Q276" s="3" t="inlineStr">
        <is>
          <t>T1.HH.09</t>
        </is>
      </c>
      <c r="R276" s="3" t="inlineStr">
        <is>
          <t>TOAN.GIOLICH</t>
        </is>
      </c>
    </row>
    <row r="277">
      <c r="A277" s="3" t="inlineStr">
        <is>
          <t>toan1-kntt-b37-q1</t>
        </is>
      </c>
      <c r="B277" s="3" t="inlineStr">
        <is>
          <t>Toán</t>
        </is>
      </c>
      <c r="C277" s="3" t="inlineStr">
        <is>
          <t>Kết nối tri thức</t>
        </is>
      </c>
      <c r="D277" s="3" t="inlineStr">
        <is>
          <t>Bài 37</t>
        </is>
      </c>
      <c r="E277" s="3" t="inlineStr">
        <is>
          <t>Chủ đề 9. Thời gian, giờ và lịch</t>
        </is>
      </c>
      <c r="F277" s="3" t="inlineStr">
        <is>
          <t>Bài 37. Luyện tập chung</t>
        </is>
      </c>
      <c r="G277" s="3" t="inlineStr">
        <is>
          <t>Chọn đáp án</t>
        </is>
      </c>
      <c r="H277" s="14" t="n">
        <v>1</v>
      </c>
      <c r="I277" s="3" t="inlineStr">
        <is>
          <t>Làm quen</t>
        </is>
      </c>
      <c r="J277" s="3" t="inlineStr">
        <is>
          <t>Kim ngắn chỉ số 10, kim dài chỉ số 12. Đồng hồ chỉ mấy giờ?</t>
        </is>
      </c>
      <c r="K277" s="3" t="inlineStr">
        <is>
          <t>A. 10 giờ | B. 12 giờ | C. 2 giờ</t>
        </is>
      </c>
      <c r="L277" s="3" t="inlineStr">
        <is>
          <t>A</t>
        </is>
      </c>
      <c r="M277" s="3" t="inlineStr">
        <is>
          <t>10 giờ.</t>
        </is>
      </c>
      <c r="N277" s="3" t="n"/>
      <c r="O277" s="14" t="n">
        <v>30</v>
      </c>
      <c r="P277" s="14">
        <f>INDEX(Khung_cap_do!$H$2:$H$6,H277)</f>
        <v/>
      </c>
      <c r="Q277" s="3" t="inlineStr">
        <is>
          <t>T1.HH.08</t>
        </is>
      </c>
      <c r="R277" s="3" t="inlineStr">
        <is>
          <t>TOAN.GIOLICH</t>
        </is>
      </c>
    </row>
    <row r="278">
      <c r="A278" s="3" t="inlineStr">
        <is>
          <t>toan1-kntt-b37-q2</t>
        </is>
      </c>
      <c r="B278" s="3" t="inlineStr">
        <is>
          <t>Toán</t>
        </is>
      </c>
      <c r="C278" s="3" t="inlineStr">
        <is>
          <t>Kết nối tri thức</t>
        </is>
      </c>
      <c r="D278" s="3" t="inlineStr">
        <is>
          <t>Bài 37</t>
        </is>
      </c>
      <c r="E278" s="3" t="inlineStr">
        <is>
          <t>Chủ đề 9. Thời gian, giờ và lịch</t>
        </is>
      </c>
      <c r="F278" s="3" t="inlineStr">
        <is>
          <t>Bài 37. Luyện tập chung</t>
        </is>
      </c>
      <c r="G278" s="3" t="inlineStr">
        <is>
          <t>Chọn đáp án</t>
        </is>
      </c>
      <c r="H278" s="14" t="n">
        <v>1</v>
      </c>
      <c r="I278" s="3" t="inlineStr">
        <is>
          <t>Làm quen</t>
        </is>
      </c>
      <c r="J278" s="3" t="inlineStr">
        <is>
          <t>Ngày đứng ngay trước Chủ nhật là ngày nào?</t>
        </is>
      </c>
      <c r="K278" s="3" t="inlineStr">
        <is>
          <t>A. Thứ Sáu | B. Thứ Bảy | C. Thứ Hai</t>
        </is>
      </c>
      <c r="L278" s="3" t="inlineStr">
        <is>
          <t>B</t>
        </is>
      </c>
      <c r="M278" s="3" t="inlineStr">
        <is>
          <t>Thứ Bảy rồi đến Chủ nhật.</t>
        </is>
      </c>
      <c r="N278" s="3" t="n"/>
      <c r="O278" s="14" t="n">
        <v>30</v>
      </c>
      <c r="P278" s="14">
        <f>INDEX(Khung_cap_do!$H$2:$H$6,H278)</f>
        <v/>
      </c>
      <c r="Q278" s="3" t="inlineStr">
        <is>
          <t>T1.HH.07</t>
        </is>
      </c>
      <c r="R278" s="3" t="inlineStr">
        <is>
          <t>TOAN.GIOLICH</t>
        </is>
      </c>
    </row>
    <row r="279">
      <c r="A279" s="3" t="inlineStr">
        <is>
          <t>toan1-kntt-b37-q3</t>
        </is>
      </c>
      <c r="B279" s="3" t="inlineStr">
        <is>
          <t>Toán</t>
        </is>
      </c>
      <c r="C279" s="3" t="inlineStr">
        <is>
          <t>Kết nối tri thức</t>
        </is>
      </c>
      <c r="D279" s="3" t="inlineStr">
        <is>
          <t>Bài 37</t>
        </is>
      </c>
      <c r="E279" s="3" t="inlineStr">
        <is>
          <t>Chủ đề 9. Thời gian, giờ và lịch</t>
        </is>
      </c>
      <c r="F279" s="3" t="inlineStr">
        <is>
          <t>Bài 37. Luyện tập chung</t>
        </is>
      </c>
      <c r="G279" s="3" t="inlineStr">
        <is>
          <t>Chọn đáp án</t>
        </is>
      </c>
      <c r="H279" s="14" t="n">
        <v>2</v>
      </c>
      <c r="I279" s="3" t="inlineStr">
        <is>
          <t>Cơ bản</t>
        </is>
      </c>
      <c r="J279" s="3" t="inlineStr">
        <is>
          <t>Việt ăn trưa lúc 11 giờ. Đó là buổi nào?</t>
        </is>
      </c>
      <c r="K279" s="3" t="inlineStr">
        <is>
          <t>A. Buổi sáng | B. Buổi trưa | C. Buổi tối</t>
        </is>
      </c>
      <c r="L279" s="3" t="inlineStr">
        <is>
          <t>B</t>
        </is>
      </c>
      <c r="M279" s="3" t="inlineStr">
        <is>
          <t>Ăn trưa vào buổi trưa.</t>
        </is>
      </c>
      <c r="N279" s="3" t="n"/>
      <c r="O279" s="14" t="n">
        <v>40</v>
      </c>
      <c r="P279" s="14">
        <f>INDEX(Khung_cap_do!$H$2:$H$6,H279)</f>
        <v/>
      </c>
      <c r="Q279" s="3" t="inlineStr">
        <is>
          <t>T1.HH.08</t>
        </is>
      </c>
      <c r="R279" s="3" t="inlineStr">
        <is>
          <t>TOAN.GIOLICH</t>
        </is>
      </c>
    </row>
    <row r="280">
      <c r="A280" s="3" t="inlineStr">
        <is>
          <t>toan1-kntt-b37-q4</t>
        </is>
      </c>
      <c r="B280" s="3" t="inlineStr">
        <is>
          <t>Toán</t>
        </is>
      </c>
      <c r="C280" s="3" t="inlineStr">
        <is>
          <t>Kết nối tri thức</t>
        </is>
      </c>
      <c r="D280" s="3" t="inlineStr">
        <is>
          <t>Bài 37</t>
        </is>
      </c>
      <c r="E280" s="3" t="inlineStr">
        <is>
          <t>Chủ đề 9. Thời gian, giờ và lịch</t>
        </is>
      </c>
      <c r="F280" s="3" t="inlineStr">
        <is>
          <t>Bài 37. Luyện tập chung</t>
        </is>
      </c>
      <c r="G280" s="3" t="inlineStr">
        <is>
          <t>Đúng / Sai</t>
        </is>
      </c>
      <c r="H280" s="14" t="n">
        <v>3</v>
      </c>
      <c r="I280" s="3" t="inlineStr">
        <is>
          <t>Vận dụng</t>
        </is>
      </c>
      <c r="J280" s="3" t="inlineStr">
        <is>
          <t>Hôm nay là thứ Tư thì hôm qua là thứ Năm. Đúng hay sai?</t>
        </is>
      </c>
      <c r="K280" s="3" t="inlineStr">
        <is>
          <t>A. Đúng | B. Sai</t>
        </is>
      </c>
      <c r="L280" s="3" t="inlineStr">
        <is>
          <t>B</t>
        </is>
      </c>
      <c r="M280" s="3" t="inlineStr">
        <is>
          <t>Hôm qua là thứ Ba; thứ Năm là ngày mai.</t>
        </is>
      </c>
      <c r="N280" s="3" t="inlineStr">
        <is>
          <t>Hôm qua là ngày ngay trước hôm nay. Trước thứ Tư là thứ Ba. Câu đã cho sai.</t>
        </is>
      </c>
      <c r="O280" s="14" t="n">
        <v>50</v>
      </c>
      <c r="P280" s="14">
        <f>INDEX(Khung_cap_do!$H$2:$H$6,H280)</f>
        <v/>
      </c>
      <c r="Q280" s="3" t="inlineStr">
        <is>
          <t>T1.HH.07</t>
        </is>
      </c>
      <c r="R280" s="3" t="inlineStr">
        <is>
          <t>TOAN.DUNGSAI</t>
        </is>
      </c>
    </row>
    <row r="281">
      <c r="A281" s="3" t="inlineStr">
        <is>
          <t>toan1-kntt-b37-q5</t>
        </is>
      </c>
      <c r="B281" s="3" t="inlineStr">
        <is>
          <t>Toán</t>
        </is>
      </c>
      <c r="C281" s="3" t="inlineStr">
        <is>
          <t>Kết nối tri thức</t>
        </is>
      </c>
      <c r="D281" s="3" t="inlineStr">
        <is>
          <t>Bài 37</t>
        </is>
      </c>
      <c r="E281" s="3" t="inlineStr">
        <is>
          <t>Chủ đề 9. Thời gian, giờ và lịch</t>
        </is>
      </c>
      <c r="F281" s="3" t="inlineStr">
        <is>
          <t>Bài 37. Luyện tập chung</t>
        </is>
      </c>
      <c r="G281" s="3" t="inlineStr">
        <is>
          <t>Điền đáp án</t>
        </is>
      </c>
      <c r="H281" s="14" t="n">
        <v>4</v>
      </c>
      <c r="I281" s="3" t="inlineStr">
        <is>
          <t>Thử thách</t>
        </is>
      </c>
      <c r="J281" s="3" t="inlineStr">
        <is>
          <t>Trong một tuần, thứ Hai là ngày 20. Thứ Tư tuần đó là ngày bao nhiêu? (chỉ viết số)</t>
        </is>
      </c>
      <c r="K281" s="3" t="inlineStr"/>
      <c r="L281" s="3" t="inlineStr">
        <is>
          <t>22</t>
        </is>
      </c>
      <c r="M281" s="3" t="inlineStr">
        <is>
          <t>Thứ Ba 21, thứ Tư 22.</t>
        </is>
      </c>
      <c r="N281" s="3" t="inlineStr">
        <is>
          <t>Thứ Tư sau thứ Hai 2 ngày: 20 + 2 = 22.</t>
        </is>
      </c>
      <c r="O281" s="14" t="n">
        <v>80</v>
      </c>
      <c r="P281" s="14">
        <f>INDEX(Khung_cap_do!$H$2:$H$6,H281)</f>
        <v/>
      </c>
      <c r="Q281" s="3" t="inlineStr">
        <is>
          <t>T1.HH.09</t>
        </is>
      </c>
      <c r="R281" s="3" t="inlineStr">
        <is>
          <t>TOAN.GIOLICH</t>
        </is>
      </c>
    </row>
    <row r="282">
      <c r="A282" s="3" t="inlineStr">
        <is>
          <t>toan1-kntt-b37-q6</t>
        </is>
      </c>
      <c r="B282" s="3" t="inlineStr">
        <is>
          <t>Toán</t>
        </is>
      </c>
      <c r="C282" s="3" t="inlineStr">
        <is>
          <t>Kết nối tri thức</t>
        </is>
      </c>
      <c r="D282" s="3" t="inlineStr">
        <is>
          <t>Bài 37</t>
        </is>
      </c>
      <c r="E282" s="3" t="inlineStr">
        <is>
          <t>Chủ đề 9. Thời gian, giờ và lịch</t>
        </is>
      </c>
      <c r="F282" s="3" t="inlineStr">
        <is>
          <t>Bài 37. Luyện tập chung</t>
        </is>
      </c>
      <c r="G282" s="3" t="inlineStr">
        <is>
          <t>Chọn đáp án</t>
        </is>
      </c>
      <c r="H282" s="14" t="n">
        <v>5</v>
      </c>
      <c r="I282" s="3" t="inlineStr">
        <is>
          <t>Mở rộng</t>
        </is>
      </c>
      <c r="J282" s="3" t="inlineStr">
        <is>
          <t>Rùa và thỏ xuất phát lúc 8 giờ. Rùa về đích sau 2 giờ. Rùa về đích lúc mấy giờ?</t>
        </is>
      </c>
      <c r="K282" s="3" t="inlineStr">
        <is>
          <t>A. 6 giờ | B. 10 giờ | C. 11 giờ</t>
        </is>
      </c>
      <c r="L282" s="3" t="inlineStr">
        <is>
          <t>B</t>
        </is>
      </c>
      <c r="M282" s="3" t="inlineStr">
        <is>
          <t>8 + 2 = 10: 10 giờ.</t>
        </is>
      </c>
      <c r="N282" s="3" t="inlineStr">
        <is>
          <t>Xuất phát lúc 8 giờ, thêm 2 giờ: 8 + 2 = 10. Rùa về đích lúc 10 giờ.</t>
        </is>
      </c>
      <c r="O282" s="14" t="n">
        <v>85</v>
      </c>
      <c r="P282" s="14">
        <f>INDEX(Khung_cap_do!$H$2:$H$6,H282)</f>
        <v/>
      </c>
      <c r="Q282" s="3" t="inlineStr">
        <is>
          <t>T1.HH.09</t>
        </is>
      </c>
      <c r="R282" s="3" t="inlineStr">
        <is>
          <t>TOAN.GIOLICH</t>
        </is>
      </c>
    </row>
    <row r="283">
      <c r="A283" s="3" t="inlineStr">
        <is>
          <t>toan1-kntt-b38-q1</t>
        </is>
      </c>
      <c r="B283" s="3" t="inlineStr">
        <is>
          <t>Toán</t>
        </is>
      </c>
      <c r="C283" s="3" t="inlineStr">
        <is>
          <t>Kết nối tri thức</t>
        </is>
      </c>
      <c r="D283" s="3" t="inlineStr">
        <is>
          <t>Bài 38</t>
        </is>
      </c>
      <c r="E283" s="3" t="inlineStr">
        <is>
          <t>Chủ đề 10. Ôn tập cuối năm</t>
        </is>
      </c>
      <c r="F283" s="3" t="inlineStr">
        <is>
          <t>Bài 38. Ôn tập các số và phép tính trong phạm vi 10</t>
        </is>
      </c>
      <c r="G283" s="3" t="inlineStr">
        <is>
          <t>Chọn đáp án</t>
        </is>
      </c>
      <c r="H283" s="14" t="n">
        <v>1</v>
      </c>
      <c r="I283" s="3" t="inlineStr">
        <is>
          <t>Làm quen</t>
        </is>
      </c>
      <c r="J283" s="3" t="inlineStr">
        <is>
          <t>Phép tính nào có kết quả bằng 8?</t>
        </is>
      </c>
      <c r="K283" s="3" t="inlineStr">
        <is>
          <t>A. 5 + 2 | B. 9 − 1 | C. 10 − 3</t>
        </is>
      </c>
      <c r="L283" s="3" t="inlineStr">
        <is>
          <t>B</t>
        </is>
      </c>
      <c r="M283" s="3" t="inlineStr">
        <is>
          <t>9 − 1 = 8.</t>
        </is>
      </c>
      <c r="N283" s="3" t="n"/>
      <c r="O283" s="14" t="n">
        <v>30</v>
      </c>
      <c r="P283" s="14">
        <f>INDEX(Khung_cap_do!$H$2:$H$6,H283)</f>
        <v/>
      </c>
      <c r="Q283" s="3" t="inlineStr">
        <is>
          <t>T1.PT.02</t>
        </is>
      </c>
      <c r="R283" s="3" t="inlineStr">
        <is>
          <t>TOAN.TINH</t>
        </is>
      </c>
    </row>
    <row r="284">
      <c r="A284" s="3" t="inlineStr">
        <is>
          <t>toan1-kntt-b38-q2</t>
        </is>
      </c>
      <c r="B284" s="3" t="inlineStr">
        <is>
          <t>Toán</t>
        </is>
      </c>
      <c r="C284" s="3" t="inlineStr">
        <is>
          <t>Kết nối tri thức</t>
        </is>
      </c>
      <c r="D284" s="3" t="inlineStr">
        <is>
          <t>Bài 38</t>
        </is>
      </c>
      <c r="E284" s="3" t="inlineStr">
        <is>
          <t>Chủ đề 10. Ôn tập cuối năm</t>
        </is>
      </c>
      <c r="F284" s="3" t="inlineStr">
        <is>
          <t>Bài 38. Ôn tập các số và phép tính trong phạm vi 10</t>
        </is>
      </c>
      <c r="G284" s="3" t="inlineStr">
        <is>
          <t>Điền đáp án</t>
        </is>
      </c>
      <c r="H284" s="14" t="n">
        <v>1</v>
      </c>
      <c r="I284" s="3" t="inlineStr">
        <is>
          <t>Làm quen</t>
        </is>
      </c>
      <c r="J284" s="3" t="inlineStr">
        <is>
          <t>Tìm số còn thiếu: 0, 1, 2, ..., 4</t>
        </is>
      </c>
      <c r="K284" s="3" t="inlineStr"/>
      <c r="L284" s="3" t="inlineStr">
        <is>
          <t>3</t>
        </is>
      </c>
      <c r="M284" s="3" t="inlineStr">
        <is>
          <t>Sau 2 là 3.</t>
        </is>
      </c>
      <c r="N284" s="3" t="n"/>
      <c r="O284" s="14" t="n">
        <v>40</v>
      </c>
      <c r="P284" s="14">
        <f>INDEX(Khung_cap_do!$H$2:$H$6,H284)</f>
        <v/>
      </c>
      <c r="Q284" s="3" t="inlineStr">
        <is>
          <t>T1.SO.01</t>
        </is>
      </c>
      <c r="R284" s="3" t="inlineStr">
        <is>
          <t>TOAN.SOTHIEU</t>
        </is>
      </c>
    </row>
    <row r="285">
      <c r="A285" s="3" t="inlineStr">
        <is>
          <t>toan1-kntt-b38-q3</t>
        </is>
      </c>
      <c r="B285" s="3" t="inlineStr">
        <is>
          <t>Toán</t>
        </is>
      </c>
      <c r="C285" s="3" t="inlineStr">
        <is>
          <t>Kết nối tri thức</t>
        </is>
      </c>
      <c r="D285" s="3" t="inlineStr">
        <is>
          <t>Bài 38</t>
        </is>
      </c>
      <c r="E285" s="3" t="inlineStr">
        <is>
          <t>Chủ đề 10. Ôn tập cuối năm</t>
        </is>
      </c>
      <c r="F285" s="3" t="inlineStr">
        <is>
          <t>Bài 38. Ôn tập các số và phép tính trong phạm vi 10</t>
        </is>
      </c>
      <c r="G285" s="3" t="inlineStr">
        <is>
          <t>Chọn đáp án</t>
        </is>
      </c>
      <c r="H285" s="14" t="n">
        <v>2</v>
      </c>
      <c r="I285" s="3" t="inlineStr">
        <is>
          <t>Cơ bản</t>
        </is>
      </c>
      <c r="J285" s="3" t="inlineStr">
        <is>
          <t>Chọn dấu thích hợp: 4 + 3 ... 6</t>
        </is>
      </c>
      <c r="K285" s="3" t="inlineStr">
        <is>
          <t>A. &gt; | B. &lt; | C. =</t>
        </is>
      </c>
      <c r="L285" s="3" t="inlineStr">
        <is>
          <t>A</t>
        </is>
      </c>
      <c r="M285" s="3" t="inlineStr">
        <is>
          <t>4 + 3 = 7; 7 &gt; 6.</t>
        </is>
      </c>
      <c r="N285" s="3" t="n"/>
      <c r="O285" s="14" t="n">
        <v>40</v>
      </c>
      <c r="P285" s="14">
        <f>INDEX(Khung_cap_do!$H$2:$H$6,H285)</f>
        <v/>
      </c>
      <c r="Q285" s="3" t="inlineStr">
        <is>
          <t>T1.PT.06</t>
        </is>
      </c>
      <c r="R285" s="3" t="inlineStr">
        <is>
          <t>TOAN.SOSANH</t>
        </is>
      </c>
    </row>
    <row r="286">
      <c r="A286" s="3" t="inlineStr">
        <is>
          <t>toan1-kntt-b38-q4</t>
        </is>
      </c>
      <c r="B286" s="3" t="inlineStr">
        <is>
          <t>Toán</t>
        </is>
      </c>
      <c r="C286" s="3" t="inlineStr">
        <is>
          <t>Kết nối tri thức</t>
        </is>
      </c>
      <c r="D286" s="3" t="inlineStr">
        <is>
          <t>Bài 38</t>
        </is>
      </c>
      <c r="E286" s="3" t="inlineStr">
        <is>
          <t>Chủ đề 10. Ôn tập cuối năm</t>
        </is>
      </c>
      <c r="F286" s="3" t="inlineStr">
        <is>
          <t>Bài 38. Ôn tập các số và phép tính trong phạm vi 10</t>
        </is>
      </c>
      <c r="G286" s="3" t="inlineStr">
        <is>
          <t>Điền đáp án</t>
        </is>
      </c>
      <c r="H286" s="14" t="n">
        <v>2</v>
      </c>
      <c r="I286" s="3" t="inlineStr">
        <is>
          <t>Cơ bản</t>
        </is>
      </c>
      <c r="J286" s="3" t="inlineStr">
        <is>
          <t>8 − 6 = ...</t>
        </is>
      </c>
      <c r="K286" s="3" t="inlineStr"/>
      <c r="L286" s="3" t="inlineStr">
        <is>
          <t>2</t>
        </is>
      </c>
      <c r="M286" s="3" t="inlineStr">
        <is>
          <t>8 − 6 = 2.</t>
        </is>
      </c>
      <c r="N286" s="3" t="n"/>
      <c r="O286" s="14" t="n">
        <v>50</v>
      </c>
      <c r="P286" s="14">
        <f>INDEX(Khung_cap_do!$H$2:$H$6,H286)</f>
        <v/>
      </c>
      <c r="Q286" s="3" t="inlineStr">
        <is>
          <t>T1.PT.02</t>
        </is>
      </c>
      <c r="R286" s="3" t="inlineStr">
        <is>
          <t>TOAN.TINH</t>
        </is>
      </c>
    </row>
    <row r="287">
      <c r="A287" s="3" t="inlineStr">
        <is>
          <t>toan1-kntt-b38-q5</t>
        </is>
      </c>
      <c r="B287" s="3" t="inlineStr">
        <is>
          <t>Toán</t>
        </is>
      </c>
      <c r="C287" s="3" t="inlineStr">
        <is>
          <t>Kết nối tri thức</t>
        </is>
      </c>
      <c r="D287" s="3" t="inlineStr">
        <is>
          <t>Bài 38</t>
        </is>
      </c>
      <c r="E287" s="3" t="inlineStr">
        <is>
          <t>Chủ đề 10. Ôn tập cuối năm</t>
        </is>
      </c>
      <c r="F287" s="3" t="inlineStr">
        <is>
          <t>Bài 38. Ôn tập các số và phép tính trong phạm vi 10</t>
        </is>
      </c>
      <c r="G287" s="3" t="inlineStr">
        <is>
          <t>Điền đáp án</t>
        </is>
      </c>
      <c r="H287" s="14" t="n">
        <v>4</v>
      </c>
      <c r="I287" s="3" t="inlineStr">
        <is>
          <t>Thử thách</t>
        </is>
      </c>
      <c r="J287" s="3" t="inlineStr">
        <is>
          <t>Điểm số của Mai, Việt và Nam là 9, 10, 10. Biết điểm của Mai cao hơn điểm của Nam. Hỏi Việt được mấy điểm?</t>
        </is>
      </c>
      <c r="K287" s="3" t="inlineStr"/>
      <c r="L287" s="3" t="inlineStr">
        <is>
          <t>10</t>
        </is>
      </c>
      <c r="M287" s="3" t="inlineStr">
        <is>
          <t>Mai 10, Nam 9, nên Việt 10.</t>
        </is>
      </c>
      <c r="N287" s="3" t="inlineStr">
        <is>
          <t>Chỉ có một điểm 9. Mai cao hơn Nam nên Nam phải được 9 và Mai được 10. Điểm còn lại là 10, đó là điểm của Việt.</t>
        </is>
      </c>
      <c r="O287" s="14" t="n">
        <v>80</v>
      </c>
      <c r="P287" s="14">
        <f>INDEX(Khung_cap_do!$H$2:$H$6,H287)</f>
        <v/>
      </c>
      <c r="Q287" s="3" t="inlineStr">
        <is>
          <t>T1.SO.02</t>
        </is>
      </c>
      <c r="R287" s="3" t="inlineStr">
        <is>
          <t>TOAN.SOSANH</t>
        </is>
      </c>
    </row>
    <row r="288">
      <c r="A288" s="3" t="inlineStr">
        <is>
          <t>toan1-kntt-b38-q6</t>
        </is>
      </c>
      <c r="B288" s="3" t="inlineStr">
        <is>
          <t>Toán</t>
        </is>
      </c>
      <c r="C288" s="3" t="inlineStr">
        <is>
          <t>Kết nối tri thức</t>
        </is>
      </c>
      <c r="D288" s="3" t="inlineStr">
        <is>
          <t>Bài 38</t>
        </is>
      </c>
      <c r="E288" s="3" t="inlineStr">
        <is>
          <t>Chủ đề 10. Ôn tập cuối năm</t>
        </is>
      </c>
      <c r="F288" s="3" t="inlineStr">
        <is>
          <t>Bài 38. Ôn tập các số và phép tính trong phạm vi 10</t>
        </is>
      </c>
      <c r="G288" s="3" t="inlineStr">
        <is>
          <t>Đúng / Sai</t>
        </is>
      </c>
      <c r="H288" s="14" t="n">
        <v>3</v>
      </c>
      <c r="I288" s="3" t="inlineStr">
        <is>
          <t>Vận dụng</t>
        </is>
      </c>
      <c r="J288" s="3" t="inlineStr">
        <is>
          <t>5 + 4 = 10 − 1. Đúng hay sai?</t>
        </is>
      </c>
      <c r="K288" s="3" t="inlineStr">
        <is>
          <t>A. Đúng | B. Sai</t>
        </is>
      </c>
      <c r="L288" s="3" t="inlineStr">
        <is>
          <t>A</t>
        </is>
      </c>
      <c r="M288" s="3" t="inlineStr">
        <is>
          <t>5 + 4 = 9; 10 − 1 = 9.</t>
        </is>
      </c>
      <c r="N288" s="3" t="inlineStr">
        <is>
          <t>Tính hai vế: 5 + 4 = 9 và 10 − 1 = 9. Hai kết quả bằng nhau nên câu đúng.</t>
        </is>
      </c>
      <c r="O288" s="14" t="n">
        <v>50</v>
      </c>
      <c r="P288" s="14">
        <f>INDEX(Khung_cap_do!$H$2:$H$6,H288)</f>
        <v/>
      </c>
      <c r="Q288" s="3" t="inlineStr">
        <is>
          <t>T1.PT.06</t>
        </is>
      </c>
      <c r="R288" s="3" t="inlineStr">
        <is>
          <t>TOAN.DUNGSAI</t>
        </is>
      </c>
    </row>
    <row r="289">
      <c r="A289" s="3" t="inlineStr">
        <is>
          <t>toan1-kntt-b38-q7</t>
        </is>
      </c>
      <c r="B289" s="3" t="inlineStr">
        <is>
          <t>Toán</t>
        </is>
      </c>
      <c r="C289" s="3" t="inlineStr">
        <is>
          <t>Kết nối tri thức</t>
        </is>
      </c>
      <c r="D289" s="3" t="inlineStr">
        <is>
          <t>Bài 38</t>
        </is>
      </c>
      <c r="E289" s="3" t="inlineStr">
        <is>
          <t>Chủ đề 10. Ôn tập cuối năm</t>
        </is>
      </c>
      <c r="F289" s="3" t="inlineStr">
        <is>
          <t>Bài 38. Ôn tập các số và phép tính trong phạm vi 10</t>
        </is>
      </c>
      <c r="G289" s="3" t="inlineStr">
        <is>
          <t>Điền đáp án</t>
        </is>
      </c>
      <c r="H289" s="14" t="n">
        <v>5</v>
      </c>
      <c r="I289" s="3" t="inlineStr">
        <is>
          <t>Mở rộng</t>
        </is>
      </c>
      <c r="J289" s="3" t="inlineStr">
        <is>
          <t>Tính: 10 − 4 + 3 = ...</t>
        </is>
      </c>
      <c r="K289" s="3" t="inlineStr"/>
      <c r="L289" s="3" t="inlineStr">
        <is>
          <t>9</t>
        </is>
      </c>
      <c r="M289" s="3" t="inlineStr">
        <is>
          <t>10 − 4 = 6; 6 + 3 = 9.</t>
        </is>
      </c>
      <c r="N289" s="3" t="inlineStr">
        <is>
          <t>Tính từ trái sang phải: 10 − 4 = 6, rồi 6 + 3 = 9.</t>
        </is>
      </c>
      <c r="O289" s="14" t="n">
        <v>85</v>
      </c>
      <c r="P289" s="14">
        <f>INDEX(Khung_cap_do!$H$2:$H$6,H289)</f>
        <v/>
      </c>
      <c r="Q289" s="3" t="inlineStr">
        <is>
          <t>T1.PT.06</t>
        </is>
      </c>
      <c r="R289" s="3" t="inlineStr">
        <is>
          <t>TOAN.TINH</t>
        </is>
      </c>
    </row>
    <row r="290">
      <c r="A290" s="3" t="inlineStr">
        <is>
          <t>toan1-kntt-b39-q1</t>
        </is>
      </c>
      <c r="B290" s="3" t="inlineStr">
        <is>
          <t>Toán</t>
        </is>
      </c>
      <c r="C290" s="3" t="inlineStr">
        <is>
          <t>Kết nối tri thức</t>
        </is>
      </c>
      <c r="D290" s="3" t="inlineStr">
        <is>
          <t>Bài 39</t>
        </is>
      </c>
      <c r="E290" s="3" t="inlineStr">
        <is>
          <t>Chủ đề 10. Ôn tập cuối năm</t>
        </is>
      </c>
      <c r="F290" s="3" t="inlineStr">
        <is>
          <t>Bài 39. Ôn tập các số và phép tính trong phạm vi 100</t>
        </is>
      </c>
      <c r="G290" s="3" t="inlineStr">
        <is>
          <t>Điền đáp án</t>
        </is>
      </c>
      <c r="H290" s="14" t="n">
        <v>1</v>
      </c>
      <c r="I290" s="3" t="inlineStr">
        <is>
          <t>Làm quen</t>
        </is>
      </c>
      <c r="J290" s="3" t="inlineStr">
        <is>
          <t>Số gồm 4 chục và 4 đơn vị là số nào?</t>
        </is>
      </c>
      <c r="K290" s="3" t="inlineStr"/>
      <c r="L290" s="3" t="inlineStr">
        <is>
          <t>44</t>
        </is>
      </c>
      <c r="M290" s="3" t="inlineStr">
        <is>
          <t>44.</t>
        </is>
      </c>
      <c r="N290" s="3" t="n"/>
      <c r="O290" s="14" t="n">
        <v>40</v>
      </c>
      <c r="P290" s="14">
        <f>INDEX(Khung_cap_do!$H$2:$H$6,H290)</f>
        <v/>
      </c>
      <c r="Q290" s="3" t="inlineStr">
        <is>
          <t>T1.SO.05</t>
        </is>
      </c>
      <c r="R290" s="3" t="inlineStr">
        <is>
          <t>TOAN.DOCVIET</t>
        </is>
      </c>
    </row>
    <row r="291">
      <c r="A291" s="3" t="inlineStr">
        <is>
          <t>toan1-kntt-b39-q2</t>
        </is>
      </c>
      <c r="B291" s="3" t="inlineStr">
        <is>
          <t>Toán</t>
        </is>
      </c>
      <c r="C291" s="3" t="inlineStr">
        <is>
          <t>Kết nối tri thức</t>
        </is>
      </c>
      <c r="D291" s="3" t="inlineStr">
        <is>
          <t>Bài 39</t>
        </is>
      </c>
      <c r="E291" s="3" t="inlineStr">
        <is>
          <t>Chủ đề 10. Ôn tập cuối năm</t>
        </is>
      </c>
      <c r="F291" s="3" t="inlineStr">
        <is>
          <t>Bài 39. Ôn tập các số và phép tính trong phạm vi 100</t>
        </is>
      </c>
      <c r="G291" s="3" t="inlineStr">
        <is>
          <t>Điền đáp án</t>
        </is>
      </c>
      <c r="H291" s="14" t="n">
        <v>1</v>
      </c>
      <c r="I291" s="3" t="inlineStr">
        <is>
          <t>Làm quen</t>
        </is>
      </c>
      <c r="J291" s="3" t="inlineStr">
        <is>
          <t>Tính nhẩm: 80 + 10 = ...</t>
        </is>
      </c>
      <c r="K291" s="3" t="inlineStr"/>
      <c r="L291" s="3" t="inlineStr">
        <is>
          <t>90</t>
        </is>
      </c>
      <c r="M291" s="3" t="inlineStr">
        <is>
          <t>8 chục + 1 chục = 9 chục.</t>
        </is>
      </c>
      <c r="N291" s="3" t="n"/>
      <c r="O291" s="14" t="n">
        <v>40</v>
      </c>
      <c r="P291" s="14">
        <f>INDEX(Khung_cap_do!$H$2:$H$6,H291)</f>
        <v/>
      </c>
      <c r="Q291" s="3" t="inlineStr">
        <is>
          <t>T1.PT.05</t>
        </is>
      </c>
      <c r="R291" s="3" t="inlineStr">
        <is>
          <t>TOAN.TINH</t>
        </is>
      </c>
    </row>
    <row r="292">
      <c r="A292" s="3" t="inlineStr">
        <is>
          <t>toan1-kntt-b39-q3</t>
        </is>
      </c>
      <c r="B292" s="3" t="inlineStr">
        <is>
          <t>Toán</t>
        </is>
      </c>
      <c r="C292" s="3" t="inlineStr">
        <is>
          <t>Kết nối tri thức</t>
        </is>
      </c>
      <c r="D292" s="3" t="inlineStr">
        <is>
          <t>Bài 39</t>
        </is>
      </c>
      <c r="E292" s="3" t="inlineStr">
        <is>
          <t>Chủ đề 10. Ôn tập cuối năm</t>
        </is>
      </c>
      <c r="F292" s="3" t="inlineStr">
        <is>
          <t>Bài 39. Ôn tập các số và phép tính trong phạm vi 100</t>
        </is>
      </c>
      <c r="G292" s="3" t="inlineStr">
        <is>
          <t>Điền đáp án</t>
        </is>
      </c>
      <c r="H292" s="14" t="n">
        <v>2</v>
      </c>
      <c r="I292" s="3" t="inlineStr">
        <is>
          <t>Cơ bản</t>
        </is>
      </c>
      <c r="J292" s="3" t="inlineStr">
        <is>
          <t>69 = ... + 9 (viết số tròn chục)</t>
        </is>
      </c>
      <c r="K292" s="3" t="inlineStr"/>
      <c r="L292" s="3" t="inlineStr">
        <is>
          <t>60</t>
        </is>
      </c>
      <c r="M292" s="3" t="inlineStr">
        <is>
          <t>69 gồm 60 và 9.</t>
        </is>
      </c>
      <c r="N292" s="3" t="n"/>
      <c r="O292" s="14" t="n">
        <v>50</v>
      </c>
      <c r="P292" s="14">
        <f>INDEX(Khung_cap_do!$H$2:$H$6,H292)</f>
        <v/>
      </c>
      <c r="Q292" s="3" t="inlineStr">
        <is>
          <t>T1.SO.05</t>
        </is>
      </c>
      <c r="R292" s="3" t="inlineStr">
        <is>
          <t>TOAN.SOTHIEU</t>
        </is>
      </c>
    </row>
    <row r="293">
      <c r="A293" s="3" t="inlineStr">
        <is>
          <t>toan1-kntt-b39-q4</t>
        </is>
      </c>
      <c r="B293" s="3" t="inlineStr">
        <is>
          <t>Toán</t>
        </is>
      </c>
      <c r="C293" s="3" t="inlineStr">
        <is>
          <t>Kết nối tri thức</t>
        </is>
      </c>
      <c r="D293" s="3" t="inlineStr">
        <is>
          <t>Bài 39</t>
        </is>
      </c>
      <c r="E293" s="3" t="inlineStr">
        <is>
          <t>Chủ đề 10. Ôn tập cuối năm</t>
        </is>
      </c>
      <c r="F293" s="3" t="inlineStr">
        <is>
          <t>Bài 39. Ôn tập các số và phép tính trong phạm vi 100</t>
        </is>
      </c>
      <c r="G293" s="3" t="inlineStr">
        <is>
          <t>Chọn đáp án</t>
        </is>
      </c>
      <c r="H293" s="14" t="n">
        <v>3</v>
      </c>
      <c r="I293" s="3" t="inlineStr">
        <is>
          <t>Vận dụng</t>
        </is>
      </c>
      <c r="J293" s="3" t="inlineStr">
        <is>
          <t>Hai phép tính nào có cùng kết quả?</t>
        </is>
      </c>
      <c r="K293" s="3" t="inlineStr">
        <is>
          <t>A. 35 + 12 và 40 + 7 | B. 35 + 12 và 30 + 50 | C. 60 + 20 và 40 + 19</t>
        </is>
      </c>
      <c r="L293" s="3" t="inlineStr">
        <is>
          <t>A</t>
        </is>
      </c>
      <c r="M293" s="3" t="inlineStr">
        <is>
          <t>35 + 12 = 47 = 40 + 7.</t>
        </is>
      </c>
      <c r="N293" s="3" t="inlineStr">
        <is>
          <t>Tính: 35 + 12 = 47, 40 + 7 = 47, 30 + 50 = 80, 60 + 20 = 80, 40 + 19 = 59. Cặp có cùng kết quả: 35 + 12 và 40 + 7.</t>
        </is>
      </c>
      <c r="O293" s="14" t="n">
        <v>50</v>
      </c>
      <c r="P293" s="14">
        <f>INDEX(Khung_cap_do!$H$2:$H$6,H293)</f>
        <v/>
      </c>
      <c r="Q293" s="3" t="inlineStr">
        <is>
          <t>T1.PT.04</t>
        </is>
      </c>
      <c r="R293" s="3" t="inlineStr">
        <is>
          <t>TOAN.TINH</t>
        </is>
      </c>
    </row>
    <row r="294">
      <c r="A294" s="3" t="inlineStr">
        <is>
          <t>toan1-kntt-b39-q5</t>
        </is>
      </c>
      <c r="B294" s="3" t="inlineStr">
        <is>
          <t>Toán</t>
        </is>
      </c>
      <c r="C294" s="3" t="inlineStr">
        <is>
          <t>Kết nối tri thức</t>
        </is>
      </c>
      <c r="D294" s="3" t="inlineStr">
        <is>
          <t>Bài 39</t>
        </is>
      </c>
      <c r="E294" s="3" t="inlineStr">
        <is>
          <t>Chủ đề 10. Ôn tập cuối năm</t>
        </is>
      </c>
      <c r="F294" s="3" t="inlineStr">
        <is>
          <t>Bài 39. Ôn tập các số và phép tính trong phạm vi 100</t>
        </is>
      </c>
      <c r="G294" s="3" t="inlineStr">
        <is>
          <t>Điền đáp án</t>
        </is>
      </c>
      <c r="H294" s="14" t="n">
        <v>3</v>
      </c>
      <c r="I294" s="3" t="inlineStr">
        <is>
          <t>Vận dụng</t>
        </is>
      </c>
      <c r="J294" s="3" t="inlineStr">
        <is>
          <t>Lớp em chăm sóc 75 cây hoa hồng. Sáng nay có 52 cây đã nở hoa. Hỏi còn bao nhiêu cây chưa nở hoa?</t>
        </is>
      </c>
      <c r="K294" s="3" t="inlineStr"/>
      <c r="L294" s="3" t="inlineStr">
        <is>
          <t>23</t>
        </is>
      </c>
      <c r="M294" s="3" t="inlineStr">
        <is>
          <t>75 − 52 = 23 cây.</t>
        </is>
      </c>
      <c r="N294" s="3" t="inlineStr">
        <is>
          <t>Tất cả 75 cây, bớt đi 52 cây đã nở hoa: 75 − 52 = 23 cây chưa nở hoa.</t>
        </is>
      </c>
      <c r="O294" s="14" t="n">
        <v>70</v>
      </c>
      <c r="P294" s="14">
        <f>INDEX(Khung_cap_do!$H$2:$H$6,H294)</f>
        <v/>
      </c>
      <c r="Q294" s="3" t="inlineStr">
        <is>
          <t>T1.PT.07</t>
        </is>
      </c>
      <c r="R294" s="3" t="inlineStr">
        <is>
          <t>TOAN.LOIVAN</t>
        </is>
      </c>
    </row>
    <row r="295">
      <c r="A295" s="3" t="inlineStr">
        <is>
          <t>toan1-kntt-b39-q6</t>
        </is>
      </c>
      <c r="B295" s="3" t="inlineStr">
        <is>
          <t>Toán</t>
        </is>
      </c>
      <c r="C295" s="3" t="inlineStr">
        <is>
          <t>Kết nối tri thức</t>
        </is>
      </c>
      <c r="D295" s="3" t="inlineStr">
        <is>
          <t>Bài 39</t>
        </is>
      </c>
      <c r="E295" s="3" t="inlineStr">
        <is>
          <t>Chủ đề 10. Ôn tập cuối năm</t>
        </is>
      </c>
      <c r="F295" s="3" t="inlineStr">
        <is>
          <t>Bài 39. Ôn tập các số và phép tính trong phạm vi 100</t>
        </is>
      </c>
      <c r="G295" s="3" t="inlineStr">
        <is>
          <t>Điền đáp án</t>
        </is>
      </c>
      <c r="H295" s="14" t="n">
        <v>4</v>
      </c>
      <c r="I295" s="3" t="inlineStr">
        <is>
          <t>Thử thách</t>
        </is>
      </c>
      <c r="J295" s="3" t="inlineStr">
        <is>
          <t>Lớp 1A có 32 bạn, lớp 1B có 35 bạn cùng đi cắm trại. Hỏi cả hai lớp có bao nhiêu bạn đi cắm trại?</t>
        </is>
      </c>
      <c r="K295" s="3" t="inlineStr"/>
      <c r="L295" s="3" t="inlineStr">
        <is>
          <t>67</t>
        </is>
      </c>
      <c r="M295" s="3" t="inlineStr">
        <is>
          <t>32 + 35 = 67 bạn.</t>
        </is>
      </c>
      <c r="N295" s="3" t="inlineStr">
        <is>
          <t>"Cả hai lớp" là gộp lại: 32 + 35 = 67. Có 67 bạn đi cắm trại.</t>
        </is>
      </c>
      <c r="O295" s="14" t="n">
        <v>80</v>
      </c>
      <c r="P295" s="14">
        <f>INDEX(Khung_cap_do!$H$2:$H$6,H295)</f>
        <v/>
      </c>
      <c r="Q295" s="3" t="inlineStr">
        <is>
          <t>T1.PT.07</t>
        </is>
      </c>
      <c r="R295" s="3" t="inlineStr">
        <is>
          <t>TOAN.LOIVAN</t>
        </is>
      </c>
    </row>
    <row r="296">
      <c r="A296" s="3" t="inlineStr">
        <is>
          <t>toan1-kntt-b39-q7</t>
        </is>
      </c>
      <c r="B296" s="3" t="inlineStr">
        <is>
          <t>Toán</t>
        </is>
      </c>
      <c r="C296" s="3" t="inlineStr">
        <is>
          <t>Kết nối tri thức</t>
        </is>
      </c>
      <c r="D296" s="3" t="inlineStr">
        <is>
          <t>Bài 39</t>
        </is>
      </c>
      <c r="E296" s="3" t="inlineStr">
        <is>
          <t>Chủ đề 10. Ôn tập cuối năm</t>
        </is>
      </c>
      <c r="F296" s="3" t="inlineStr">
        <is>
          <t>Bài 39. Ôn tập các số và phép tính trong phạm vi 100</t>
        </is>
      </c>
      <c r="G296" s="3" t="inlineStr">
        <is>
          <t>Điền đáp án</t>
        </is>
      </c>
      <c r="H296" s="14" t="n">
        <v>5</v>
      </c>
      <c r="I296" s="3" t="inlineStr">
        <is>
          <t>Mở rộng</t>
        </is>
      </c>
      <c r="J296" s="3" t="inlineStr">
        <is>
          <t>Tính: 23 + 41 − 50 = ...</t>
        </is>
      </c>
      <c r="K296" s="3" t="inlineStr"/>
      <c r="L296" s="3" t="inlineStr">
        <is>
          <t>14</t>
        </is>
      </c>
      <c r="M296" s="3" t="inlineStr">
        <is>
          <t>23 + 41 = 64; 64 − 50 = 14.</t>
        </is>
      </c>
      <c r="N296" s="3" t="inlineStr">
        <is>
          <t>Tính từ trái sang phải: 23 + 41 = 64, rồi 64 − 50 = 14.</t>
        </is>
      </c>
      <c r="O296" s="14" t="n">
        <v>85</v>
      </c>
      <c r="P296" s="14">
        <f>INDEX(Khung_cap_do!$H$2:$H$6,H296)</f>
        <v/>
      </c>
      <c r="Q296" s="3" t="inlineStr">
        <is>
          <t>T1.PT.06</t>
        </is>
      </c>
      <c r="R296" s="3" t="inlineStr">
        <is>
          <t>TOAN.TINH</t>
        </is>
      </c>
    </row>
    <row r="297">
      <c r="A297" s="3" t="inlineStr">
        <is>
          <t>toan1-kntt-b40-q1</t>
        </is>
      </c>
      <c r="B297" s="3" t="inlineStr">
        <is>
          <t>Toán</t>
        </is>
      </c>
      <c r="C297" s="3" t="inlineStr">
        <is>
          <t>Kết nối tri thức</t>
        </is>
      </c>
      <c r="D297" s="3" t="inlineStr">
        <is>
          <t>Bài 40</t>
        </is>
      </c>
      <c r="E297" s="3" t="inlineStr">
        <is>
          <t>Chủ đề 10. Ôn tập cuối năm</t>
        </is>
      </c>
      <c r="F297" s="3" t="inlineStr">
        <is>
          <t>Bài 40. Ôn tập hình học và đo lường</t>
        </is>
      </c>
      <c r="G297" s="3" t="inlineStr">
        <is>
          <t>Chọn đáp án</t>
        </is>
      </c>
      <c r="H297" s="14" t="n">
        <v>1</v>
      </c>
      <c r="I297" s="3" t="inlineStr">
        <is>
          <t>Làm quen</t>
        </is>
      </c>
      <c r="J297" s="3" t="inlineStr">
        <is>
          <t>Hình nào có 3 cạnh?</t>
        </is>
      </c>
      <c r="K297" s="3" t="inlineStr">
        <is>
          <t>A. Hình vuông | B. Hình tam giác | C. Hình tròn</t>
        </is>
      </c>
      <c r="L297" s="3" t="inlineStr">
        <is>
          <t>B</t>
        </is>
      </c>
      <c r="M297" s="3" t="inlineStr">
        <is>
          <t>Hình tam giác có 3 cạnh.</t>
        </is>
      </c>
      <c r="N297" s="3" t="n"/>
      <c r="O297" s="14" t="n">
        <v>30</v>
      </c>
      <c r="P297" s="14">
        <f>INDEX(Khung_cap_do!$H$2:$H$6,H297)</f>
        <v/>
      </c>
      <c r="Q297" s="3" t="inlineStr">
        <is>
          <t>T1.HH.02</t>
        </is>
      </c>
      <c r="R297" s="3" t="inlineStr">
        <is>
          <t>TOAN.HINH</t>
        </is>
      </c>
    </row>
    <row r="298">
      <c r="A298" s="3" t="inlineStr">
        <is>
          <t>toan1-kntt-b40-q2</t>
        </is>
      </c>
      <c r="B298" s="3" t="inlineStr">
        <is>
          <t>Toán</t>
        </is>
      </c>
      <c r="C298" s="3" t="inlineStr">
        <is>
          <t>Kết nối tri thức</t>
        </is>
      </c>
      <c r="D298" s="3" t="inlineStr">
        <is>
          <t>Bài 40</t>
        </is>
      </c>
      <c r="E298" s="3" t="inlineStr">
        <is>
          <t>Chủ đề 10. Ôn tập cuối năm</t>
        </is>
      </c>
      <c r="F298" s="3" t="inlineStr">
        <is>
          <t>Bài 40. Ôn tập hình học và đo lường</t>
        </is>
      </c>
      <c r="G298" s="3" t="inlineStr">
        <is>
          <t>Chọn đáp án</t>
        </is>
      </c>
      <c r="H298" s="14" t="n">
        <v>1</v>
      </c>
      <c r="I298" s="3" t="inlineStr">
        <is>
          <t>Làm quen</t>
        </is>
      </c>
      <c r="J298" s="3" t="inlineStr">
        <is>
          <t>Hộp sữa có dạng khối gì?</t>
        </is>
      </c>
      <c r="K298" s="3" t="inlineStr">
        <is>
          <t>A. Khối lập phương | B. Khối hộp chữ nhật</t>
        </is>
      </c>
      <c r="L298" s="3" t="inlineStr">
        <is>
          <t>B</t>
        </is>
      </c>
      <c r="M298" s="3" t="inlineStr">
        <is>
          <t>Hộp sữa dài, có dạng khối hộp chữ nhật.</t>
        </is>
      </c>
      <c r="N298" s="3" t="n"/>
      <c r="O298" s="14" t="n">
        <v>30</v>
      </c>
      <c r="P298" s="14">
        <f>INDEX(Khung_cap_do!$H$2:$H$6,H298)</f>
        <v/>
      </c>
      <c r="Q298" s="3" t="inlineStr">
        <is>
          <t>T1.HH.03</t>
        </is>
      </c>
      <c r="R298" s="3" t="inlineStr">
        <is>
          <t>TOAN.HINH</t>
        </is>
      </c>
    </row>
    <row r="299">
      <c r="A299" s="3" t="inlineStr">
        <is>
          <t>toan1-kntt-b40-q3</t>
        </is>
      </c>
      <c r="B299" s="3" t="inlineStr">
        <is>
          <t>Toán</t>
        </is>
      </c>
      <c r="C299" s="3" t="inlineStr">
        <is>
          <t>Kết nối tri thức</t>
        </is>
      </c>
      <c r="D299" s="3" t="inlineStr">
        <is>
          <t>Bài 40</t>
        </is>
      </c>
      <c r="E299" s="3" t="inlineStr">
        <is>
          <t>Chủ đề 10. Ôn tập cuối năm</t>
        </is>
      </c>
      <c r="F299" s="3" t="inlineStr">
        <is>
          <t>Bài 40. Ôn tập hình học và đo lường</t>
        </is>
      </c>
      <c r="G299" s="3" t="inlineStr">
        <is>
          <t>Chọn đáp án</t>
        </is>
      </c>
      <c r="H299" s="14" t="n">
        <v>2</v>
      </c>
      <c r="I299" s="3" t="inlineStr">
        <is>
          <t>Cơ bản</t>
        </is>
      </c>
      <c r="J299" s="3" t="inlineStr">
        <is>
          <t>Việt đi học lúc 7 giờ sáng. Đồng hồ lúc đó: kim ngắn chỉ số mấy?</t>
        </is>
      </c>
      <c r="K299" s="3" t="inlineStr">
        <is>
          <t>A. Số 7 | B. Số 12 | C. Số 1</t>
        </is>
      </c>
      <c r="L299" s="3" t="inlineStr">
        <is>
          <t>A</t>
        </is>
      </c>
      <c r="M299" s="3" t="inlineStr">
        <is>
          <t>7 giờ: kim ngắn chỉ số 7, kim dài chỉ số 12.</t>
        </is>
      </c>
      <c r="N299" s="3" t="n"/>
      <c r="O299" s="14" t="n">
        <v>50</v>
      </c>
      <c r="P299" s="14">
        <f>INDEX(Khung_cap_do!$H$2:$H$6,H299)</f>
        <v/>
      </c>
      <c r="Q299" s="3" t="inlineStr">
        <is>
          <t>T1.HH.08</t>
        </is>
      </c>
      <c r="R299" s="3" t="inlineStr">
        <is>
          <t>TOAN.GIOLICH</t>
        </is>
      </c>
    </row>
    <row r="300">
      <c r="A300" s="3" t="inlineStr">
        <is>
          <t>toan1-kntt-b40-q4</t>
        </is>
      </c>
      <c r="B300" s="3" t="inlineStr">
        <is>
          <t>Toán</t>
        </is>
      </c>
      <c r="C300" s="3" t="inlineStr">
        <is>
          <t>Kết nối tri thức</t>
        </is>
      </c>
      <c r="D300" s="3" t="inlineStr">
        <is>
          <t>Bài 40</t>
        </is>
      </c>
      <c r="E300" s="3" t="inlineStr">
        <is>
          <t>Chủ đề 10. Ôn tập cuối năm</t>
        </is>
      </c>
      <c r="F300" s="3" t="inlineStr">
        <is>
          <t>Bài 40. Ôn tập hình học và đo lường</t>
        </is>
      </c>
      <c r="G300" s="3" t="inlineStr">
        <is>
          <t>Chọn đáp án</t>
        </is>
      </c>
      <c r="H300" s="14" t="n">
        <v>2</v>
      </c>
      <c r="I300" s="3" t="inlineStr">
        <is>
          <t>Cơ bản</t>
        </is>
      </c>
      <c r="J300" s="3" t="inlineStr">
        <is>
          <t>Bàn học của em cao khoảng:</t>
        </is>
      </c>
      <c r="K300" s="3" t="inlineStr">
        <is>
          <t>A. 6 cm | B. 6 gang tay | C. 6 sải tay</t>
        </is>
      </c>
      <c r="L300" s="3" t="inlineStr">
        <is>
          <t>B</t>
        </is>
      </c>
      <c r="M300" s="3" t="inlineStr">
        <is>
          <t>Bàn học cao khoảng 6 gang tay.</t>
        </is>
      </c>
      <c r="N300" s="3" t="n"/>
      <c r="O300" s="14" t="n">
        <v>40</v>
      </c>
      <c r="P300" s="14">
        <f>INDEX(Khung_cap_do!$H$2:$H$6,H300)</f>
        <v/>
      </c>
      <c r="Q300" s="3" t="inlineStr">
        <is>
          <t>T1.HH.06</t>
        </is>
      </c>
      <c r="R300" s="3" t="inlineStr">
        <is>
          <t>TOAN.DODAI</t>
        </is>
      </c>
    </row>
    <row r="301">
      <c r="A301" s="3" t="inlineStr">
        <is>
          <t>toan1-kntt-b40-q5</t>
        </is>
      </c>
      <c r="B301" s="3" t="inlineStr">
        <is>
          <t>Toán</t>
        </is>
      </c>
      <c r="C301" s="3" t="inlineStr">
        <is>
          <t>Kết nối tri thức</t>
        </is>
      </c>
      <c r="D301" s="3" t="inlineStr">
        <is>
          <t>Bài 40</t>
        </is>
      </c>
      <c r="E301" s="3" t="inlineStr">
        <is>
          <t>Chủ đề 10. Ôn tập cuối năm</t>
        </is>
      </c>
      <c r="F301" s="3" t="inlineStr">
        <is>
          <t>Bài 40. Ôn tập hình học và đo lường</t>
        </is>
      </c>
      <c r="G301" s="3" t="inlineStr">
        <is>
          <t>Điền đáp án</t>
        </is>
      </c>
      <c r="H301" s="14" t="n">
        <v>3</v>
      </c>
      <c r="I301" s="3" t="inlineStr">
        <is>
          <t>Vận dụng</t>
        </is>
      </c>
      <c r="J301" s="3" t="inlineStr">
        <is>
          <t>🔶🔺🔵🔶🔺🔵🔶🔺...
Hình tiếp theo là hình gì? (viết: tròn, vuông hoặc tam giác)</t>
        </is>
      </c>
      <c r="K301" s="3" t="inlineStr"/>
      <c r="L301" s="3" t="inlineStr">
        <is>
          <t>tròn / hình tròn</t>
        </is>
      </c>
      <c r="M301" s="3" t="inlineStr">
        <is>
          <t>Nhóm thoi – tam giác – tròn lặp lại: sau tam giác là hình tròn.</t>
        </is>
      </c>
      <c r="N301" s="3" t="inlineStr">
        <is>
          <t>Dãy lặp lại nhóm 3 hình: hình thoi, hình tam giác, hình tròn. Hình cuối đang là tam giác nên hình tiếp theo là hình tròn.</t>
        </is>
      </c>
      <c r="O301" s="14" t="n">
        <v>70</v>
      </c>
      <c r="P301" s="14">
        <f>INDEX(Khung_cap_do!$H$2:$H$6,H301)</f>
        <v/>
      </c>
      <c r="Q301" s="3" t="inlineStr">
        <is>
          <t>T1.HH.04</t>
        </is>
      </c>
      <c r="R301" s="3" t="inlineStr">
        <is>
          <t>TOAN.HINH</t>
        </is>
      </c>
    </row>
    <row r="302">
      <c r="A302" s="3" t="inlineStr">
        <is>
          <t>toan1-kntt-b40-q6</t>
        </is>
      </c>
      <c r="B302" s="3" t="inlineStr">
        <is>
          <t>Toán</t>
        </is>
      </c>
      <c r="C302" s="3" t="inlineStr">
        <is>
          <t>Kết nối tri thức</t>
        </is>
      </c>
      <c r="D302" s="3" t="inlineStr">
        <is>
          <t>Bài 40</t>
        </is>
      </c>
      <c r="E302" s="3" t="inlineStr">
        <is>
          <t>Chủ đề 10. Ôn tập cuối năm</t>
        </is>
      </c>
      <c r="F302" s="3" t="inlineStr">
        <is>
          <t>Bài 40. Ôn tập hình học và đo lường</t>
        </is>
      </c>
      <c r="G302" s="3" t="inlineStr">
        <is>
          <t>Chọn đáp án</t>
        </is>
      </c>
      <c r="H302" s="14" t="n">
        <v>4</v>
      </c>
      <c r="I302" s="3" t="inlineStr">
        <is>
          <t>Thử thách</t>
        </is>
      </c>
      <c r="J302" s="3" t="inlineStr">
        <is>
          <t>Trong một tuần, nếu ngày 20 là thứ Hai thì ngày 22 là thứ mấy?</t>
        </is>
      </c>
      <c r="K302" s="3" t="inlineStr">
        <is>
          <t>A. Thứ Tư | B. Thứ Năm | C. Thứ Sáu</t>
        </is>
      </c>
      <c r="L302" s="3" t="inlineStr">
        <is>
          <t>A</t>
        </is>
      </c>
      <c r="M302" s="3" t="inlineStr">
        <is>
          <t>Ngày 21 thứ Ba, ngày 22 thứ Tư.</t>
        </is>
      </c>
      <c r="N302" s="3" t="inlineStr">
        <is>
          <t>Ngày 22 sau ngày 20 hai ngày. Sau thứ Hai hai ngày là thứ Tư.</t>
        </is>
      </c>
      <c r="O302" s="14" t="n">
        <v>70</v>
      </c>
      <c r="P302" s="14">
        <f>INDEX(Khung_cap_do!$H$2:$H$6,H302)</f>
        <v/>
      </c>
      <c r="Q302" s="3" t="inlineStr">
        <is>
          <t>T1.HH.09</t>
        </is>
      </c>
      <c r="R302" s="3" t="inlineStr">
        <is>
          <t>TOAN.GIOLICH</t>
        </is>
      </c>
    </row>
    <row r="303">
      <c r="A303" s="3" t="inlineStr">
        <is>
          <t>toan1-kntt-b40-q7</t>
        </is>
      </c>
      <c r="B303" s="3" t="inlineStr">
        <is>
          <t>Toán</t>
        </is>
      </c>
      <c r="C303" s="3" t="inlineStr">
        <is>
          <t>Kết nối tri thức</t>
        </is>
      </c>
      <c r="D303" s="3" t="inlineStr">
        <is>
          <t>Bài 40</t>
        </is>
      </c>
      <c r="E303" s="3" t="inlineStr">
        <is>
          <t>Chủ đề 10. Ôn tập cuối năm</t>
        </is>
      </c>
      <c r="F303" s="3" t="inlineStr">
        <is>
          <t>Bài 40. Ôn tập hình học và đo lường</t>
        </is>
      </c>
      <c r="G303" s="3" t="inlineStr">
        <is>
          <t>Chọn đáp án</t>
        </is>
      </c>
      <c r="H303" s="14" t="n">
        <v>3</v>
      </c>
      <c r="I303" s="3" t="inlineStr">
        <is>
          <t>Vận dụng</t>
        </is>
      </c>
      <c r="J303" s="3" t="inlineStr">
        <is>
          <t>Bút bi đặt thẳng từ vạch 0 đến vạch 15 của thước. Bút bi dài:</t>
        </is>
      </c>
      <c r="K303" s="3" t="inlineStr">
        <is>
          <t>A. 14 cm | B. 15 cm | C. 16 cm</t>
        </is>
      </c>
      <c r="L303" s="3" t="inlineStr">
        <is>
          <t>B</t>
        </is>
      </c>
      <c r="M303" s="3" t="inlineStr">
        <is>
          <t>Đầu kia ở vạch 15: bút dài 15 cm.</t>
        </is>
      </c>
      <c r="N303" s="3" t="inlineStr">
        <is>
          <t>Một đầu bút ở vạch 0 nên đọc số ở đầu kia: 15. Bút bi dài 15 cm.</t>
        </is>
      </c>
      <c r="O303" s="14" t="n">
        <v>60</v>
      </c>
      <c r="P303" s="14">
        <f>INDEX(Khung_cap_do!$H$2:$H$6,H303)</f>
        <v/>
      </c>
      <c r="Q303" s="3" t="inlineStr">
        <is>
          <t>T1.HH.06</t>
        </is>
      </c>
      <c r="R303" s="3" t="inlineStr">
        <is>
          <t>TOAN.DODAI</t>
        </is>
      </c>
    </row>
    <row r="304">
      <c r="A304" s="3" t="inlineStr">
        <is>
          <t>toan1-kntt-b40-q8</t>
        </is>
      </c>
      <c r="B304" s="3" t="inlineStr">
        <is>
          <t>Toán</t>
        </is>
      </c>
      <c r="C304" s="3" t="inlineStr">
        <is>
          <t>Kết nối tri thức</t>
        </is>
      </c>
      <c r="D304" s="3" t="inlineStr">
        <is>
          <t>Bài 40</t>
        </is>
      </c>
      <c r="E304" s="3" t="inlineStr">
        <is>
          <t>Chủ đề 10. Ôn tập cuối năm</t>
        </is>
      </c>
      <c r="F304" s="3" t="inlineStr">
        <is>
          <t>Bài 40. Ôn tập hình học và đo lường</t>
        </is>
      </c>
      <c r="G304" s="3" t="inlineStr">
        <is>
          <t>Điền đáp án</t>
        </is>
      </c>
      <c r="H304" s="14" t="n">
        <v>5</v>
      </c>
      <c r="I304" s="3" t="inlineStr">
        <is>
          <t>Mở rộng</t>
        </is>
      </c>
      <c r="J304" s="3" t="inlineStr">
        <is>
          <t>Một hình vuông lớn được chia thành 4 hình vuông nhỏ bằng nhau. Hình đó có tất cả bao nhiêu hình vuông? (kể cả hình vuông lớn)</t>
        </is>
      </c>
      <c r="K304" s="3" t="inlineStr"/>
      <c r="L304" s="3" t="inlineStr">
        <is>
          <t>5</t>
        </is>
      </c>
      <c r="M304" s="3" t="inlineStr">
        <is>
          <t>4 hình vuông nhỏ và 1 hình vuông lớn: 5 hình vuông.</t>
        </is>
      </c>
      <c r="N304" s="3" t="inlineStr">
        <is>
          <t>Đếm hình vuông nhỏ: 4. Cả bốn hình nhỏ ghép lại thành 1 hình vuông lớn. Tất cả: 4 + 1 = 5 hình vuông.</t>
        </is>
      </c>
      <c r="O304" s="14" t="n">
        <v>95</v>
      </c>
      <c r="P304" s="14">
        <f>INDEX(Khung_cap_do!$H$2:$H$6,H304)</f>
        <v/>
      </c>
      <c r="Q304" s="3" t="inlineStr">
        <is>
          <t>T1.HH.04</t>
        </is>
      </c>
      <c r="R304" s="3" t="inlineStr">
        <is>
          <t>TOAN.HINH</t>
        </is>
      </c>
    </row>
    <row r="305">
      <c r="A305" s="3" t="inlineStr">
        <is>
          <t>toan1-kntt-b41-q1</t>
        </is>
      </c>
      <c r="B305" s="3" t="inlineStr">
        <is>
          <t>Toán</t>
        </is>
      </c>
      <c r="C305" s="3" t="inlineStr">
        <is>
          <t>Kết nối tri thức</t>
        </is>
      </c>
      <c r="D305" s="3" t="inlineStr">
        <is>
          <t>Bài 41</t>
        </is>
      </c>
      <c r="E305" s="3" t="inlineStr">
        <is>
          <t>Chủ đề 10. Ôn tập cuối năm</t>
        </is>
      </c>
      <c r="F305" s="3" t="inlineStr">
        <is>
          <t>Bài 41. Ôn tập chung</t>
        </is>
      </c>
      <c r="G305" s="3" t="inlineStr">
        <is>
          <t>Chọn đáp án</t>
        </is>
      </c>
      <c r="H305" s="14" t="n">
        <v>1</v>
      </c>
      <c r="I305" s="3" t="inlineStr">
        <is>
          <t>Làm quen</t>
        </is>
      </c>
      <c r="J305" s="3" t="inlineStr">
        <is>
          <t>"Bảy mươi mốt" viết là:</t>
        </is>
      </c>
      <c r="K305" s="3" t="inlineStr">
        <is>
          <t>A. 71 | B. 17 | C. 70</t>
        </is>
      </c>
      <c r="L305" s="3" t="inlineStr">
        <is>
          <t>A</t>
        </is>
      </c>
      <c r="M305" s="3" t="inlineStr">
        <is>
          <t>7 chục, 1 đơn vị: 71.</t>
        </is>
      </c>
      <c r="N305" s="3" t="n"/>
      <c r="O305" s="14" t="n">
        <v>30</v>
      </c>
      <c r="P305" s="14">
        <f>INDEX(Khung_cap_do!$H$2:$H$6,H305)</f>
        <v/>
      </c>
      <c r="Q305" s="3" t="inlineStr">
        <is>
          <t>T1.SO.04</t>
        </is>
      </c>
      <c r="R305" s="3" t="inlineStr">
        <is>
          <t>TOAN.DOCVIET</t>
        </is>
      </c>
    </row>
    <row r="306">
      <c r="A306" s="3" t="inlineStr">
        <is>
          <t>toan1-kntt-b41-q2</t>
        </is>
      </c>
      <c r="B306" s="3" t="inlineStr">
        <is>
          <t>Toán</t>
        </is>
      </c>
      <c r="C306" s="3" t="inlineStr">
        <is>
          <t>Kết nối tri thức</t>
        </is>
      </c>
      <c r="D306" s="3" t="inlineStr">
        <is>
          <t>Bài 41</t>
        </is>
      </c>
      <c r="E306" s="3" t="inlineStr">
        <is>
          <t>Chủ đề 10. Ôn tập cuối năm</t>
        </is>
      </c>
      <c r="F306" s="3" t="inlineStr">
        <is>
          <t>Bài 41. Ôn tập chung</t>
        </is>
      </c>
      <c r="G306" s="3" t="inlineStr">
        <is>
          <t>Sắp xếp</t>
        </is>
      </c>
      <c r="H306" s="14" t="n">
        <v>2</v>
      </c>
      <c r="I306" s="3" t="inlineStr">
        <is>
          <t>Cơ bản</t>
        </is>
      </c>
      <c r="J306" s="3" t="inlineStr">
        <is>
          <t>Sắp xếp các số 48, 25, 42, 74 theo thứ tự từ bé đến lớn.</t>
        </is>
      </c>
      <c r="K306" s="3" t="inlineStr">
        <is>
          <t>25 / 42 / 48 / 74</t>
        </is>
      </c>
      <c r="L306" s="3" t="inlineStr">
        <is>
          <t>25 → 42 → 48 → 74</t>
        </is>
      </c>
      <c r="M306" s="3" t="inlineStr">
        <is>
          <t>25 &lt; 42 &lt; 48 &lt; 74.</t>
        </is>
      </c>
      <c r="N306" s="3" t="n"/>
      <c r="O306" s="14" t="n">
        <v>55</v>
      </c>
      <c r="P306" s="14">
        <f>INDEX(Khung_cap_do!$H$2:$H$6,H306)</f>
        <v/>
      </c>
      <c r="Q306" s="3" t="inlineStr">
        <is>
          <t>T1.SO.06</t>
        </is>
      </c>
      <c r="R306" s="3" t="inlineStr">
        <is>
          <t>TOAN.SAPXEP</t>
        </is>
      </c>
    </row>
    <row r="307">
      <c r="A307" s="3" t="inlineStr">
        <is>
          <t>toan1-kntt-b41-q3</t>
        </is>
      </c>
      <c r="B307" s="3" t="inlineStr">
        <is>
          <t>Toán</t>
        </is>
      </c>
      <c r="C307" s="3" t="inlineStr">
        <is>
          <t>Kết nối tri thức</t>
        </is>
      </c>
      <c r="D307" s="3" t="inlineStr">
        <is>
          <t>Bài 41</t>
        </is>
      </c>
      <c r="E307" s="3" t="inlineStr">
        <is>
          <t>Chủ đề 10. Ôn tập cuối năm</t>
        </is>
      </c>
      <c r="F307" s="3" t="inlineStr">
        <is>
          <t>Bài 41. Ôn tập chung</t>
        </is>
      </c>
      <c r="G307" s="3" t="inlineStr">
        <is>
          <t>Điền đáp án</t>
        </is>
      </c>
      <c r="H307" s="14" t="n">
        <v>1</v>
      </c>
      <c r="I307" s="3" t="inlineStr">
        <is>
          <t>Làm quen</t>
        </is>
      </c>
      <c r="J307" s="3" t="inlineStr">
        <is>
          <t>13 + 5 = ...</t>
        </is>
      </c>
      <c r="K307" s="3" t="inlineStr"/>
      <c r="L307" s="3" t="inlineStr">
        <is>
          <t>18</t>
        </is>
      </c>
      <c r="M307" s="3" t="inlineStr">
        <is>
          <t>3 + 5 = 8; hạ 1: 18.</t>
        </is>
      </c>
      <c r="N307" s="3" t="n"/>
      <c r="O307" s="14" t="n">
        <v>40</v>
      </c>
      <c r="P307" s="14">
        <f>INDEX(Khung_cap_do!$H$2:$H$6,H307)</f>
        <v/>
      </c>
      <c r="Q307" s="3" t="inlineStr">
        <is>
          <t>T1.PT.04</t>
        </is>
      </c>
      <c r="R307" s="3" t="inlineStr">
        <is>
          <t>TOAN.TINH</t>
        </is>
      </c>
    </row>
    <row r="308">
      <c r="A308" s="3" t="inlineStr">
        <is>
          <t>toan1-kntt-b41-q4</t>
        </is>
      </c>
      <c r="B308" s="3" t="inlineStr">
        <is>
          <t>Toán</t>
        </is>
      </c>
      <c r="C308" s="3" t="inlineStr">
        <is>
          <t>Kết nối tri thức</t>
        </is>
      </c>
      <c r="D308" s="3" t="inlineStr">
        <is>
          <t>Bài 41</t>
        </is>
      </c>
      <c r="E308" s="3" t="inlineStr">
        <is>
          <t>Chủ đề 10. Ôn tập cuối năm</t>
        </is>
      </c>
      <c r="F308" s="3" t="inlineStr">
        <is>
          <t>Bài 41. Ôn tập chung</t>
        </is>
      </c>
      <c r="G308" s="3" t="inlineStr">
        <is>
          <t>Điền đáp án</t>
        </is>
      </c>
      <c r="H308" s="14" t="n">
        <v>2</v>
      </c>
      <c r="I308" s="3" t="inlineStr">
        <is>
          <t>Cơ bản</t>
        </is>
      </c>
      <c r="J308" s="3" t="inlineStr">
        <is>
          <t>69 − 63 = ...</t>
        </is>
      </c>
      <c r="K308" s="3" t="inlineStr"/>
      <c r="L308" s="3" t="inlineStr">
        <is>
          <t>6</t>
        </is>
      </c>
      <c r="M308" s="3" t="inlineStr">
        <is>
          <t>9 − 3 = 6; 6 − 6 = 0: 6.</t>
        </is>
      </c>
      <c r="N308" s="3" t="n"/>
      <c r="O308" s="14" t="n">
        <v>50</v>
      </c>
      <c r="P308" s="14">
        <f>INDEX(Khung_cap_do!$H$2:$H$6,H308)</f>
        <v/>
      </c>
      <c r="Q308" s="3" t="inlineStr">
        <is>
          <t>T1.PT.04</t>
        </is>
      </c>
      <c r="R308" s="3" t="inlineStr">
        <is>
          <t>TOAN.TINH</t>
        </is>
      </c>
    </row>
    <row r="309">
      <c r="A309" s="3" t="inlineStr">
        <is>
          <t>toan1-kntt-b41-q5</t>
        </is>
      </c>
      <c r="B309" s="3" t="inlineStr">
        <is>
          <t>Toán</t>
        </is>
      </c>
      <c r="C309" s="3" t="inlineStr">
        <is>
          <t>Kết nối tri thức</t>
        </is>
      </c>
      <c r="D309" s="3" t="inlineStr">
        <is>
          <t>Bài 41</t>
        </is>
      </c>
      <c r="E309" s="3" t="inlineStr">
        <is>
          <t>Chủ đề 10. Ôn tập cuối năm</t>
        </is>
      </c>
      <c r="F309" s="3" t="inlineStr">
        <is>
          <t>Bài 41. Ôn tập chung</t>
        </is>
      </c>
      <c r="G309" s="3" t="inlineStr">
        <is>
          <t>Điền đáp án</t>
        </is>
      </c>
      <c r="H309" s="14" t="n">
        <v>3</v>
      </c>
      <c r="I309" s="3" t="inlineStr">
        <is>
          <t>Vận dụng</t>
        </is>
      </c>
      <c r="J309" s="3" t="inlineStr">
        <is>
          <t>Mai hái được 23 bông hoa, Mi hái được 14 bông hoa. Hỏi cả hai chị em hái được bao nhiêu bông hoa?</t>
        </is>
      </c>
      <c r="K309" s="3" t="inlineStr"/>
      <c r="L309" s="3" t="inlineStr">
        <is>
          <t>37</t>
        </is>
      </c>
      <c r="M309" s="3" t="inlineStr">
        <is>
          <t>23 + 14 = 37 bông hoa.</t>
        </is>
      </c>
      <c r="N309" s="3" t="inlineStr">
        <is>
          <t>"Cả hai chị em" là gộp lại: 23 + 14 = 37.</t>
        </is>
      </c>
      <c r="O309" s="14" t="n">
        <v>70</v>
      </c>
      <c r="P309" s="14">
        <f>INDEX(Khung_cap_do!$H$2:$H$6,H309)</f>
        <v/>
      </c>
      <c r="Q309" s="3" t="inlineStr">
        <is>
          <t>T1.PT.07</t>
        </is>
      </c>
      <c r="R309" s="3" t="inlineStr">
        <is>
          <t>TOAN.LOIVAN</t>
        </is>
      </c>
    </row>
    <row r="310">
      <c r="A310" s="3" t="inlineStr">
        <is>
          <t>toan1-kntt-b41-q6</t>
        </is>
      </c>
      <c r="B310" s="3" t="inlineStr">
        <is>
          <t>Toán</t>
        </is>
      </c>
      <c r="C310" s="3" t="inlineStr">
        <is>
          <t>Kết nối tri thức</t>
        </is>
      </c>
      <c r="D310" s="3" t="inlineStr">
        <is>
          <t>Bài 41</t>
        </is>
      </c>
      <c r="E310" s="3" t="inlineStr">
        <is>
          <t>Chủ đề 10. Ôn tập cuối năm</t>
        </is>
      </c>
      <c r="F310" s="3" t="inlineStr">
        <is>
          <t>Bài 41. Ôn tập chung</t>
        </is>
      </c>
      <c r="G310" s="3" t="inlineStr">
        <is>
          <t>Điền đáp án</t>
        </is>
      </c>
      <c r="H310" s="14" t="n">
        <v>3</v>
      </c>
      <c r="I310" s="3" t="inlineStr">
        <is>
          <t>Vận dụng</t>
        </is>
      </c>
      <c r="J310" s="3" t="inlineStr">
        <is>
          <t>Nam có 25 viên bi, Nam cho Việt 10 viên. Hỏi Nam còn lại bao nhiêu viên bi?</t>
        </is>
      </c>
      <c r="K310" s="3" t="inlineStr"/>
      <c r="L310" s="3" t="inlineStr">
        <is>
          <t>15</t>
        </is>
      </c>
      <c r="M310" s="3" t="inlineStr">
        <is>
          <t>25 − 10 = 15 viên bi.</t>
        </is>
      </c>
      <c r="N310" s="3" t="inlineStr">
        <is>
          <t>"Cho bạn", "còn lại" là phép trừ: 25 − 10 = 15.</t>
        </is>
      </c>
      <c r="O310" s="14" t="n">
        <v>70</v>
      </c>
      <c r="P310" s="14">
        <f>INDEX(Khung_cap_do!$H$2:$H$6,H310)</f>
        <v/>
      </c>
      <c r="Q310" s="3" t="inlineStr">
        <is>
          <t>T1.PT.07</t>
        </is>
      </c>
      <c r="R310" s="3" t="inlineStr">
        <is>
          <t>TOAN.LOIVAN</t>
        </is>
      </c>
    </row>
    <row r="311">
      <c r="A311" s="3" t="inlineStr">
        <is>
          <t>toan1-kntt-b41-q7</t>
        </is>
      </c>
      <c r="B311" s="3" t="inlineStr">
        <is>
          <t>Toán</t>
        </is>
      </c>
      <c r="C311" s="3" t="inlineStr">
        <is>
          <t>Kết nối tri thức</t>
        </is>
      </c>
      <c r="D311" s="3" t="inlineStr">
        <is>
          <t>Bài 41</t>
        </is>
      </c>
      <c r="E311" s="3" t="inlineStr">
        <is>
          <t>Chủ đề 10. Ôn tập cuối năm</t>
        </is>
      </c>
      <c r="F311" s="3" t="inlineStr">
        <is>
          <t>Bài 41. Ôn tập chung</t>
        </is>
      </c>
      <c r="G311" s="3" t="inlineStr">
        <is>
          <t>Chọn đáp án</t>
        </is>
      </c>
      <c r="H311" s="14" t="n">
        <v>4</v>
      </c>
      <c r="I311" s="3" t="inlineStr">
        <is>
          <t>Thử thách</t>
        </is>
      </c>
      <c r="J311" s="3" t="inlineStr">
        <is>
          <t>Nếu thứ Ba là ngày 11 thì thứ Sáu tuần đó là ngày nào?</t>
        </is>
      </c>
      <c r="K311" s="3" t="inlineStr">
        <is>
          <t>A. Ngày 13 | B. Ngày 14 | C. Ngày 15</t>
        </is>
      </c>
      <c r="L311" s="3" t="inlineStr">
        <is>
          <t>B</t>
        </is>
      </c>
      <c r="M311" s="3" t="inlineStr">
        <is>
          <t>11 + 3 = 14.</t>
        </is>
      </c>
      <c r="N311" s="3" t="inlineStr">
        <is>
          <t>Từ thứ Ba đến thứ Sáu là 3 ngày: 11 + 3 = 14.</t>
        </is>
      </c>
      <c r="O311" s="14" t="n">
        <v>60</v>
      </c>
      <c r="P311" s="14">
        <f>INDEX(Khung_cap_do!$H$2:$H$6,H311)</f>
        <v/>
      </c>
      <c r="Q311" s="3" t="inlineStr">
        <is>
          <t>T1.HH.09</t>
        </is>
      </c>
      <c r="R311" s="3" t="inlineStr">
        <is>
          <t>TOAN.GIOLICH</t>
        </is>
      </c>
    </row>
    <row r="312">
      <c r="A312" s="3" t="inlineStr">
        <is>
          <t>toan1-kntt-b41-q8</t>
        </is>
      </c>
      <c r="B312" s="3" t="inlineStr">
        <is>
          <t>Toán</t>
        </is>
      </c>
      <c r="C312" s="3" t="inlineStr">
        <is>
          <t>Kết nối tri thức</t>
        </is>
      </c>
      <c r="D312" s="3" t="inlineStr">
        <is>
          <t>Bài 41</t>
        </is>
      </c>
      <c r="E312" s="3" t="inlineStr">
        <is>
          <t>Chủ đề 10. Ôn tập cuối năm</t>
        </is>
      </c>
      <c r="F312" s="3" t="inlineStr">
        <is>
          <t>Bài 41. Ôn tập chung</t>
        </is>
      </c>
      <c r="G312" s="3" t="inlineStr">
        <is>
          <t>Điền đáp án</t>
        </is>
      </c>
      <c r="H312" s="14" t="n">
        <v>5</v>
      </c>
      <c r="I312" s="3" t="inlineStr">
        <is>
          <t>Mở rộng</t>
        </is>
      </c>
      <c r="J312" s="3" t="inlineStr">
        <is>
          <t>Tính: 46 + 30 − 6 = ...</t>
        </is>
      </c>
      <c r="K312" s="3" t="inlineStr"/>
      <c r="L312" s="3" t="inlineStr">
        <is>
          <t>70</t>
        </is>
      </c>
      <c r="M312" s="3" t="inlineStr">
        <is>
          <t>46 + 30 = 76; 76 − 6 = 70.</t>
        </is>
      </c>
      <c r="N312" s="3" t="inlineStr">
        <is>
          <t>Tính từ trái sang phải: 46 + 30 = 76, rồi 76 − 6 = 70.</t>
        </is>
      </c>
      <c r="O312" s="14" t="n">
        <v>85</v>
      </c>
      <c r="P312" s="14">
        <f>INDEX(Khung_cap_do!$H$2:$H$6,H312)</f>
        <v/>
      </c>
      <c r="Q312" s="3" t="inlineStr">
        <is>
          <t>T1.PT.06</t>
        </is>
      </c>
      <c r="R312" s="3" t="inlineStr">
        <is>
          <t>TOAN.TINH</t>
        </is>
      </c>
    </row>
    <row r="313">
      <c r="A313" s="3" t="inlineStr">
        <is>
          <t>tv1-kntt-t01-q1</t>
        </is>
      </c>
      <c r="B313" s="3" t="inlineStr">
        <is>
          <t>Tiếng Việt</t>
        </is>
      </c>
      <c r="C313" s="3" t="inlineStr">
        <is>
          <t>Kết nối tri thức</t>
        </is>
      </c>
      <c r="D313" s="3" t="inlineStr">
        <is>
          <t>Tuần 1 (Bài 1–5)</t>
        </is>
      </c>
      <c r="E313" s="3" t="inlineStr">
        <is>
          <t>Phần 1. Âm và chữ (tuần 1–6)</t>
        </is>
      </c>
      <c r="F313" s="3" t="inlineStr">
        <is>
          <t>Tuần 1: a, b, c, e, ê</t>
        </is>
      </c>
      <c r="G313" s="3" t="inlineStr">
        <is>
          <t>Chọn đáp án</t>
        </is>
      </c>
      <c r="H313" s="14" t="n">
        <v>1</v>
      </c>
      <c r="I313" s="3" t="inlineStr">
        <is>
          <t>Làm quen</t>
        </is>
      </c>
      <c r="J313" s="3" t="inlineStr">
        <is>
          <t>Tiếng 'bà' bắt đầu bằng chữ nào?</t>
        </is>
      </c>
      <c r="K313" s="3" t="inlineStr">
        <is>
          <t>A. b | B. c | C. a</t>
        </is>
      </c>
      <c r="L313" s="3" t="inlineStr">
        <is>
          <t>A</t>
        </is>
      </c>
      <c r="M313" s="3" t="inlineStr">
        <is>
          <t>Tiếng 'bà' gồm b và a, dấu huyền. Chữ đầu là b.</t>
        </is>
      </c>
      <c r="N313" s="3" t="n"/>
      <c r="O313" s="14" t="n">
        <v>30</v>
      </c>
      <c r="P313" s="14">
        <f>INDEX(Khung_cap_do!$H$2:$H$6,H313)</f>
        <v/>
      </c>
      <c r="Q313" s="3" t="inlineStr">
        <is>
          <t>V1.AM.01</t>
        </is>
      </c>
      <c r="R313" s="3" t="inlineStr">
        <is>
          <t>TV.AMCHU</t>
        </is>
      </c>
    </row>
    <row r="314">
      <c r="A314" s="3" t="inlineStr">
        <is>
          <t>tv1-kntt-t01-q2</t>
        </is>
      </c>
      <c r="B314" s="3" t="inlineStr">
        <is>
          <t>Tiếng Việt</t>
        </is>
      </c>
      <c r="C314" s="3" t="inlineStr">
        <is>
          <t>Kết nối tri thức</t>
        </is>
      </c>
      <c r="D314" s="3" t="inlineStr">
        <is>
          <t>Tuần 1 (Bài 1–5)</t>
        </is>
      </c>
      <c r="E314" s="3" t="inlineStr">
        <is>
          <t>Phần 1. Âm và chữ (tuần 1–6)</t>
        </is>
      </c>
      <c r="F314" s="3" t="inlineStr">
        <is>
          <t>Tuần 1: a, b, c, e, ê</t>
        </is>
      </c>
      <c r="G314" s="3" t="inlineStr">
        <is>
          <t>Chọn đáp án</t>
        </is>
      </c>
      <c r="H314" s="14" t="n">
        <v>1</v>
      </c>
      <c r="I314" s="3" t="inlineStr">
        <is>
          <t>Làm quen</t>
        </is>
      </c>
      <c r="J314" s="3" t="inlineStr">
        <is>
          <t>Tiếng nào có dấu huyền?</t>
        </is>
      </c>
      <c r="K314" s="3" t="inlineStr">
        <is>
          <t>A. bá | B. bà | C. ba</t>
        </is>
      </c>
      <c r="L314" s="3" t="inlineStr">
        <is>
          <t>B</t>
        </is>
      </c>
      <c r="M314" s="3" t="inlineStr">
        <is>
          <t>Dấu huyền là nét xiên từ trái xuống phải ( ` ), như trong 'bà'.</t>
        </is>
      </c>
      <c r="N314" s="3" t="n"/>
      <c r="O314" s="14" t="n">
        <v>30</v>
      </c>
      <c r="P314" s="14">
        <f>INDEX(Khung_cap_do!$H$2:$H$6,H314)</f>
        <v/>
      </c>
      <c r="Q314" s="3" t="inlineStr">
        <is>
          <t>V1.AM.02</t>
        </is>
      </c>
      <c r="R314" s="3" t="inlineStr">
        <is>
          <t>TV.DAUTHANH</t>
        </is>
      </c>
    </row>
    <row r="315">
      <c r="A315" s="3" t="inlineStr">
        <is>
          <t>tv1-kntt-t01-q3</t>
        </is>
      </c>
      <c r="B315" s="3" t="inlineStr">
        <is>
          <t>Tiếng Việt</t>
        </is>
      </c>
      <c r="C315" s="3" t="inlineStr">
        <is>
          <t>Kết nối tri thức</t>
        </is>
      </c>
      <c r="D315" s="3" t="inlineStr">
        <is>
          <t>Tuần 1 (Bài 1–5)</t>
        </is>
      </c>
      <c r="E315" s="3" t="inlineStr">
        <is>
          <t>Phần 1. Âm và chữ (tuần 1–6)</t>
        </is>
      </c>
      <c r="F315" s="3" t="inlineStr">
        <is>
          <t>Tuần 1: a, b, c, e, ê</t>
        </is>
      </c>
      <c r="G315" s="3" t="inlineStr">
        <is>
          <t>Chọn đáp án</t>
        </is>
      </c>
      <c r="H315" s="14" t="n">
        <v>1</v>
      </c>
      <c r="I315" s="3" t="inlineStr">
        <is>
          <t>Làm quen</t>
        </is>
      </c>
      <c r="J315" s="3" t="inlineStr">
        <is>
          <t>Tiếng nào có dấu sắc?</t>
        </is>
      </c>
      <c r="K315" s="3" t="inlineStr">
        <is>
          <t>A. cà | B. ca | C. cá</t>
        </is>
      </c>
      <c r="L315" s="3" t="inlineStr">
        <is>
          <t>C</t>
        </is>
      </c>
      <c r="M315" s="3" t="inlineStr">
        <is>
          <t>Dấu sắc là nét xiên từ phải xuống trái ( ´ ), như trong 'cá'.</t>
        </is>
      </c>
      <c r="N315" s="3" t="n"/>
      <c r="O315" s="14" t="n">
        <v>30</v>
      </c>
      <c r="P315" s="14">
        <f>INDEX(Khung_cap_do!$H$2:$H$6,H315)</f>
        <v/>
      </c>
      <c r="Q315" s="3" t="inlineStr">
        <is>
          <t>V1.AM.02</t>
        </is>
      </c>
      <c r="R315" s="3" t="inlineStr">
        <is>
          <t>TV.DAUTHANH</t>
        </is>
      </c>
    </row>
    <row r="316">
      <c r="A316" s="3" t="inlineStr">
        <is>
          <t>tv1-kntt-t01-q4</t>
        </is>
      </c>
      <c r="B316" s="3" t="inlineStr">
        <is>
          <t>Tiếng Việt</t>
        </is>
      </c>
      <c r="C316" s="3" t="inlineStr">
        <is>
          <t>Kết nối tri thức</t>
        </is>
      </c>
      <c r="D316" s="3" t="inlineStr">
        <is>
          <t>Tuần 1 (Bài 1–5)</t>
        </is>
      </c>
      <c r="E316" s="3" t="inlineStr">
        <is>
          <t>Phần 1. Âm và chữ (tuần 1–6)</t>
        </is>
      </c>
      <c r="F316" s="3" t="inlineStr">
        <is>
          <t>Tuần 1: a, b, c, e, ê</t>
        </is>
      </c>
      <c r="G316" s="3" t="inlineStr">
        <is>
          <t>Chọn nhiều đáp án</t>
        </is>
      </c>
      <c r="H316" s="14" t="n">
        <v>2</v>
      </c>
      <c r="I316" s="3" t="inlineStr">
        <is>
          <t>Cơ bản</t>
        </is>
      </c>
      <c r="J316" s="3" t="inlineStr">
        <is>
          <t>Chọn TẤT CẢ các tiếng bắt đầu bằng chữ b</t>
        </is>
      </c>
      <c r="K316" s="3" t="inlineStr">
        <is>
          <t>A. ba | B. cà | C. bé | D. cá | E. bê</t>
        </is>
      </c>
      <c r="L316" s="3" t="inlineStr">
        <is>
          <t>A, C, E</t>
        </is>
      </c>
      <c r="M316" s="3" t="inlineStr">
        <is>
          <t>'ba', 'bé', 'bê' bắt đầu bằng b; 'cà', 'cá' bắt đầu bằng c.</t>
        </is>
      </c>
      <c r="N316" s="3" t="n"/>
      <c r="O316" s="14" t="n">
        <v>50</v>
      </c>
      <c r="P316" s="14">
        <f>INDEX(Khung_cap_do!$H$2:$H$6,H316)</f>
        <v/>
      </c>
      <c r="Q316" s="3" t="inlineStr">
        <is>
          <t>V1.AM.01</t>
        </is>
      </c>
      <c r="R316" s="3" t="inlineStr">
        <is>
          <t>TV.AMCHU</t>
        </is>
      </c>
    </row>
    <row r="317">
      <c r="A317" s="3" t="inlineStr">
        <is>
          <t>tv1-kntt-t01-q5</t>
        </is>
      </c>
      <c r="B317" s="3" t="inlineStr">
        <is>
          <t>Tiếng Việt</t>
        </is>
      </c>
      <c r="C317" s="3" t="inlineStr">
        <is>
          <t>Kết nối tri thức</t>
        </is>
      </c>
      <c r="D317" s="3" t="inlineStr">
        <is>
          <t>Tuần 1 (Bài 1–5)</t>
        </is>
      </c>
      <c r="E317" s="3" t="inlineStr">
        <is>
          <t>Phần 1. Âm và chữ (tuần 1–6)</t>
        </is>
      </c>
      <c r="F317" s="3" t="inlineStr">
        <is>
          <t>Tuần 1: a, b, c, e, ê</t>
        </is>
      </c>
      <c r="G317" s="3" t="inlineStr">
        <is>
          <t>Điền đáp án</t>
        </is>
      </c>
      <c r="H317" s="14" t="n">
        <v>2</v>
      </c>
      <c r="I317" s="3" t="inlineStr">
        <is>
          <t>Cơ bản</t>
        </is>
      </c>
      <c r="J317" s="3" t="inlineStr">
        <is>
          <t>Ghép âm b với âm a, không có dấu thanh. Được tiếng gì?</t>
        </is>
      </c>
      <c r="K317" s="3" t="inlineStr"/>
      <c r="L317" s="3" t="inlineStr">
        <is>
          <t>ba</t>
        </is>
      </c>
      <c r="M317" s="3" t="inlineStr">
        <is>
          <t>b – a – ba.</t>
        </is>
      </c>
      <c r="N317" s="3" t="inlineStr">
        <is>
          <t>Đọc âm đầu "bờ", rồi đọc âm "a", ghép nhanh lại: bờ – a – ba.</t>
        </is>
      </c>
      <c r="O317" s="14" t="n">
        <v>50</v>
      </c>
      <c r="P317" s="14">
        <f>INDEX(Khung_cap_do!$H$2:$H$6,H317)</f>
        <v/>
      </c>
      <c r="Q317" s="3" t="inlineStr">
        <is>
          <t>V1.DOC.01</t>
        </is>
      </c>
      <c r="R317" s="3" t="inlineStr">
        <is>
          <t>TV.GHEPVAN</t>
        </is>
      </c>
    </row>
    <row r="318">
      <c r="A318" s="3" t="inlineStr">
        <is>
          <t>tv1-kntt-t01-q6</t>
        </is>
      </c>
      <c r="B318" s="3" t="inlineStr">
        <is>
          <t>Tiếng Việt</t>
        </is>
      </c>
      <c r="C318" s="3" t="inlineStr">
        <is>
          <t>Kết nối tri thức</t>
        </is>
      </c>
      <c r="D318" s="3" t="inlineStr">
        <is>
          <t>Tuần 1 (Bài 1–5)</t>
        </is>
      </c>
      <c r="E318" s="3" t="inlineStr">
        <is>
          <t>Phần 1. Âm và chữ (tuần 1–6)</t>
        </is>
      </c>
      <c r="F318" s="3" t="inlineStr">
        <is>
          <t>Tuần 1: a, b, c, e, ê</t>
        </is>
      </c>
      <c r="G318" s="3" t="inlineStr">
        <is>
          <t>Chọn đáp án</t>
        </is>
      </c>
      <c r="H318" s="14" t="n">
        <v>2</v>
      </c>
      <c r="I318" s="3" t="inlineStr">
        <is>
          <t>Cơ bản</t>
        </is>
      </c>
      <c r="J318" s="3" t="inlineStr">
        <is>
          <t>Tiếng 'bê' có âm nào đứng sau âm b?</t>
        </is>
      </c>
      <c r="K318" s="3" t="inlineStr">
        <is>
          <t>A. e | B. ê | C. a</t>
        </is>
      </c>
      <c r="L318" s="3" t="inlineStr">
        <is>
          <t>B</t>
        </is>
      </c>
      <c r="M318" s="3" t="inlineStr">
        <is>
          <t>'bê' gồm b và ê. Chữ ê có dấu mũ.</t>
        </is>
      </c>
      <c r="N318" s="3" t="n"/>
      <c r="O318" s="14" t="n">
        <v>40</v>
      </c>
      <c r="P318" s="14">
        <f>INDEX(Khung_cap_do!$H$2:$H$6,H318)</f>
        <v/>
      </c>
      <c r="Q318" s="3" t="inlineStr">
        <is>
          <t>V1.AM.01</t>
        </is>
      </c>
      <c r="R318" s="3" t="inlineStr">
        <is>
          <t>TV.AMCHU</t>
        </is>
      </c>
    </row>
    <row r="319">
      <c r="A319" s="3" t="inlineStr">
        <is>
          <t>tv1-kntt-t01-q7</t>
        </is>
      </c>
      <c r="B319" s="3" t="inlineStr">
        <is>
          <t>Tiếng Việt</t>
        </is>
      </c>
      <c r="C319" s="3" t="inlineStr">
        <is>
          <t>Kết nối tri thức</t>
        </is>
      </c>
      <c r="D319" s="3" t="inlineStr">
        <is>
          <t>Tuần 1 (Bài 1–5)</t>
        </is>
      </c>
      <c r="E319" s="3" t="inlineStr">
        <is>
          <t>Phần 1. Âm và chữ (tuần 1–6)</t>
        </is>
      </c>
      <c r="F319" s="3" t="inlineStr">
        <is>
          <t>Tuần 1: a, b, c, e, ê</t>
        </is>
      </c>
      <c r="G319" s="3" t="inlineStr">
        <is>
          <t>Sắp xếp</t>
        </is>
      </c>
      <c r="H319" s="14" t="n">
        <v>2</v>
      </c>
      <c r="I319" s="3" t="inlineStr">
        <is>
          <t>Cơ bản</t>
        </is>
      </c>
      <c r="J319" s="3" t="inlineStr">
        <is>
          <t>Xếp các chữ để được tiếng 'cá'</t>
        </is>
      </c>
      <c r="K319" s="3" t="inlineStr">
        <is>
          <t>c / á</t>
        </is>
      </c>
      <c r="L319" s="3" t="inlineStr">
        <is>
          <t>c → á</t>
        </is>
      </c>
      <c r="M319" s="3" t="inlineStr">
        <is>
          <t>Âm đầu c đứng trước, rồi đến á.</t>
        </is>
      </c>
      <c r="N319" s="3" t="n"/>
      <c r="O319" s="14" t="n">
        <v>55</v>
      </c>
      <c r="P319" s="14">
        <f>INDEX(Khung_cap_do!$H$2:$H$6,H319)</f>
        <v/>
      </c>
      <c r="Q319" s="3" t="inlineStr">
        <is>
          <t>V1.DOC.01</t>
        </is>
      </c>
      <c r="R319" s="3" t="inlineStr">
        <is>
          <t>TV.GHEPVAN</t>
        </is>
      </c>
    </row>
    <row r="320">
      <c r="A320" s="3" t="inlineStr">
        <is>
          <t>tv1-kntt-t01-q8</t>
        </is>
      </c>
      <c r="B320" s="3" t="inlineStr">
        <is>
          <t>Tiếng Việt</t>
        </is>
      </c>
      <c r="C320" s="3" t="inlineStr">
        <is>
          <t>Kết nối tri thức</t>
        </is>
      </c>
      <c r="D320" s="3" t="inlineStr">
        <is>
          <t>Tuần 1 (Bài 1–5)</t>
        </is>
      </c>
      <c r="E320" s="3" t="inlineStr">
        <is>
          <t>Phần 1. Âm và chữ (tuần 1–6)</t>
        </is>
      </c>
      <c r="F320" s="3" t="inlineStr">
        <is>
          <t>Tuần 1: a, b, c, e, ê</t>
        </is>
      </c>
      <c r="G320" s="3" t="inlineStr">
        <is>
          <t>Ghép cặp</t>
        </is>
      </c>
      <c r="H320" s="14" t="n">
        <v>2</v>
      </c>
      <c r="I320" s="3" t="inlineStr">
        <is>
          <t>Cơ bản</t>
        </is>
      </c>
      <c r="J320" s="3" t="inlineStr">
        <is>
          <t>Ghép tiếng với hình đúng</t>
        </is>
      </c>
      <c r="K320" s="3" t="inlineStr">
        <is>
          <t>cá ↔ ? / bà ↔ ? / bé ↔ ?</t>
        </is>
      </c>
      <c r="L320" s="3" t="inlineStr">
        <is>
          <t>cá – 🐟; bà – 👵; bé – 👶</t>
        </is>
      </c>
      <c r="M320" s="3" t="inlineStr">
        <is>
          <t>cá – con cá; bà – bà; bé – em bé.</t>
        </is>
      </c>
      <c r="N320" s="3" t="n"/>
      <c r="O320" s="14" t="n">
        <v>55</v>
      </c>
      <c r="P320" s="14">
        <f>INDEX(Khung_cap_do!$H$2:$H$6,H320)</f>
        <v/>
      </c>
      <c r="Q320" s="3" t="inlineStr">
        <is>
          <t>V1.DOC.05</t>
        </is>
      </c>
      <c r="R320" s="3" t="inlineStr">
        <is>
          <t>TV.NOITU</t>
        </is>
      </c>
    </row>
    <row r="321">
      <c r="A321" s="3" t="inlineStr">
        <is>
          <t>tv1-kntt-t01-q9</t>
        </is>
      </c>
      <c r="B321" s="3" t="inlineStr">
        <is>
          <t>Tiếng Việt</t>
        </is>
      </c>
      <c r="C321" s="3" t="inlineStr">
        <is>
          <t>Kết nối tri thức</t>
        </is>
      </c>
      <c r="D321" s="3" t="inlineStr">
        <is>
          <t>Tuần 1 (Bài 1–5)</t>
        </is>
      </c>
      <c r="E321" s="3" t="inlineStr">
        <is>
          <t>Phần 1. Âm và chữ (tuần 1–6)</t>
        </is>
      </c>
      <c r="F321" s="3" t="inlineStr">
        <is>
          <t>Tuần 1: a, b, c, e, ê</t>
        </is>
      </c>
      <c r="G321" s="3" t="inlineStr">
        <is>
          <t>Chọn đáp án</t>
        </is>
      </c>
      <c r="H321" s="14" t="n">
        <v>3</v>
      </c>
      <c r="I321" s="3" t="inlineStr">
        <is>
          <t>Vận dụng</t>
        </is>
      </c>
      <c r="J321" s="3" t="inlineStr">
        <is>
          <t>Con gì sống dưới nước, bơi bằng vây? Chọn tiếng đúng.</t>
        </is>
      </c>
      <c r="K321" s="3" t="inlineStr">
        <is>
          <t>A. cá | B. bà | C. bê</t>
        </is>
      </c>
      <c r="L321" s="3" t="inlineStr">
        <is>
          <t>A</t>
        </is>
      </c>
      <c r="M321" s="3" t="inlineStr">
        <is>
          <t>Con cá sống dưới nước.</t>
        </is>
      </c>
      <c r="N321" s="3" t="inlineStr">
        <is>
          <t>Đọc từng tiếng: cá, bà, bê. Con sống dưới nước, có vây để bơi là con cá.</t>
        </is>
      </c>
      <c r="O321" s="14" t="n">
        <v>50</v>
      </c>
      <c r="P321" s="14">
        <f>INDEX(Khung_cap_do!$H$2:$H$6,H321)</f>
        <v/>
      </c>
      <c r="Q321" s="3" t="inlineStr">
        <is>
          <t>V1.VIET.04</t>
        </is>
      </c>
      <c r="R321" s="3" t="inlineStr">
        <is>
          <t>TV.NOITU</t>
        </is>
      </c>
    </row>
    <row r="322">
      <c r="A322" s="3" t="inlineStr">
        <is>
          <t>tv1-kntt-t01-q10</t>
        </is>
      </c>
      <c r="B322" s="3" t="inlineStr">
        <is>
          <t>Tiếng Việt</t>
        </is>
      </c>
      <c r="C322" s="3" t="inlineStr">
        <is>
          <t>Kết nối tri thức</t>
        </is>
      </c>
      <c r="D322" s="3" t="inlineStr">
        <is>
          <t>Tuần 1 (Bài 1–5)</t>
        </is>
      </c>
      <c r="E322" s="3" t="inlineStr">
        <is>
          <t>Phần 1. Âm và chữ (tuần 1–6)</t>
        </is>
      </c>
      <c r="F322" s="3" t="inlineStr">
        <is>
          <t>Tuần 1: a, b, c, e, ê</t>
        </is>
      </c>
      <c r="G322" s="3" t="inlineStr">
        <is>
          <t>Đúng / Sai</t>
        </is>
      </c>
      <c r="H322" s="14" t="n">
        <v>1</v>
      </c>
      <c r="I322" s="3" t="inlineStr">
        <is>
          <t>Làm quen</t>
        </is>
      </c>
      <c r="J322" s="3" t="inlineStr">
        <is>
          <t>Tiếng 'cà' có dấu huyền. Đúng hay sai?</t>
        </is>
      </c>
      <c r="K322" s="3" t="inlineStr">
        <is>
          <t>A. Đúng | B. Sai</t>
        </is>
      </c>
      <c r="L322" s="3" t="inlineStr">
        <is>
          <t>A</t>
        </is>
      </c>
      <c r="M322" s="3" t="inlineStr">
        <is>
          <t>'cà' có dấu huyền ở trên chữ a.</t>
        </is>
      </c>
      <c r="N322" s="3" t="n"/>
      <c r="O322" s="14" t="n">
        <v>30</v>
      </c>
      <c r="P322" s="14">
        <f>INDEX(Khung_cap_do!$H$2:$H$6,H322)</f>
        <v/>
      </c>
      <c r="Q322" s="3" t="inlineStr">
        <is>
          <t>V1.AM.02</t>
        </is>
      </c>
      <c r="R322" s="3" t="inlineStr">
        <is>
          <t>TV.DAUTHANH</t>
        </is>
      </c>
    </row>
    <row r="323">
      <c r="A323" s="3" t="inlineStr">
        <is>
          <t>tv1-kntt-t02-q1</t>
        </is>
      </c>
      <c r="B323" s="3" t="inlineStr">
        <is>
          <t>Tiếng Việt</t>
        </is>
      </c>
      <c r="C323" s="3" t="inlineStr">
        <is>
          <t>Kết nối tri thức</t>
        </is>
      </c>
      <c r="D323" s="3" t="inlineStr">
        <is>
          <t>Tuần 2 (Bài 6–10)</t>
        </is>
      </c>
      <c r="E323" s="3" t="inlineStr">
        <is>
          <t>Phần 1. Âm và chữ (tuần 1–6)</t>
        </is>
      </c>
      <c r="F323" s="3" t="inlineStr">
        <is>
          <t>Tuần 2: o, ô, ơ, d, đ</t>
        </is>
      </c>
      <c r="G323" s="3" t="inlineStr">
        <is>
          <t>Chọn đáp án</t>
        </is>
      </c>
      <c r="H323" s="14" t="n">
        <v>1</v>
      </c>
      <c r="I323" s="3" t="inlineStr">
        <is>
          <t>Làm quen</t>
        </is>
      </c>
      <c r="J323" s="3" t="inlineStr">
        <is>
          <t>Tiếng nào có dấu hỏi?</t>
        </is>
      </c>
      <c r="K323" s="3" t="inlineStr">
        <is>
          <t>A. cỏ | B. cò | C. có</t>
        </is>
      </c>
      <c r="L323" s="3" t="inlineStr">
        <is>
          <t>A</t>
        </is>
      </c>
      <c r="M323" s="3" t="inlineStr">
        <is>
          <t>Dấu hỏi trông như cái móc nhỏ ( ̉ ), như trong 'cỏ'.</t>
        </is>
      </c>
      <c r="N323" s="3" t="n"/>
      <c r="O323" s="14" t="n">
        <v>30</v>
      </c>
      <c r="P323" s="14">
        <f>INDEX(Khung_cap_do!$H$2:$H$6,H323)</f>
        <v/>
      </c>
      <c r="Q323" s="3" t="inlineStr">
        <is>
          <t>V1.AM.02</t>
        </is>
      </c>
      <c r="R323" s="3" t="inlineStr">
        <is>
          <t>TV.DAUTHANH</t>
        </is>
      </c>
    </row>
    <row r="324">
      <c r="A324" s="3" t="inlineStr">
        <is>
          <t>tv1-kntt-t02-q2</t>
        </is>
      </c>
      <c r="B324" s="3" t="inlineStr">
        <is>
          <t>Tiếng Việt</t>
        </is>
      </c>
      <c r="C324" s="3" t="inlineStr">
        <is>
          <t>Kết nối tri thức</t>
        </is>
      </c>
      <c r="D324" s="3" t="inlineStr">
        <is>
          <t>Tuần 2 (Bài 6–10)</t>
        </is>
      </c>
      <c r="E324" s="3" t="inlineStr">
        <is>
          <t>Phần 1. Âm và chữ (tuần 1–6)</t>
        </is>
      </c>
      <c r="F324" s="3" t="inlineStr">
        <is>
          <t>Tuần 2: o, ô, ơ, d, đ</t>
        </is>
      </c>
      <c r="G324" s="3" t="inlineStr">
        <is>
          <t>Chọn đáp án</t>
        </is>
      </c>
      <c r="H324" s="14" t="n">
        <v>1</v>
      </c>
      <c r="I324" s="3" t="inlineStr">
        <is>
          <t>Làm quen</t>
        </is>
      </c>
      <c r="J324" s="3" t="inlineStr">
        <is>
          <t>Tiếng nào có dấu nặng?</t>
        </is>
      </c>
      <c r="K324" s="3" t="inlineStr">
        <is>
          <t>A. bộ | B. bố | C. bổ</t>
        </is>
      </c>
      <c r="L324" s="3" t="inlineStr">
        <is>
          <t>A</t>
        </is>
      </c>
      <c r="M324" s="3" t="inlineStr">
        <is>
          <t>Dấu nặng là dấu chấm đặt DƯỚI chữ, như trong 'bộ'.</t>
        </is>
      </c>
      <c r="N324" s="3" t="n"/>
      <c r="O324" s="14" t="n">
        <v>30</v>
      </c>
      <c r="P324" s="14">
        <f>INDEX(Khung_cap_do!$H$2:$H$6,H324)</f>
        <v/>
      </c>
      <c r="Q324" s="3" t="inlineStr">
        <is>
          <t>V1.AM.02</t>
        </is>
      </c>
      <c r="R324" s="3" t="inlineStr">
        <is>
          <t>TV.DAUTHANH</t>
        </is>
      </c>
    </row>
    <row r="325">
      <c r="A325" s="3" t="inlineStr">
        <is>
          <t>tv1-kntt-t02-q3</t>
        </is>
      </c>
      <c r="B325" s="3" t="inlineStr">
        <is>
          <t>Tiếng Việt</t>
        </is>
      </c>
      <c r="C325" s="3" t="inlineStr">
        <is>
          <t>Kết nối tri thức</t>
        </is>
      </c>
      <c r="D325" s="3" t="inlineStr">
        <is>
          <t>Tuần 2 (Bài 6–10)</t>
        </is>
      </c>
      <c r="E325" s="3" t="inlineStr">
        <is>
          <t>Phần 1. Âm và chữ (tuần 1–6)</t>
        </is>
      </c>
      <c r="F325" s="3" t="inlineStr">
        <is>
          <t>Tuần 2: o, ô, ơ, d, đ</t>
        </is>
      </c>
      <c r="G325" s="3" t="inlineStr">
        <is>
          <t>Chọn đáp án</t>
        </is>
      </c>
      <c r="H325" s="14" t="n">
        <v>1</v>
      </c>
      <c r="I325" s="3" t="inlineStr">
        <is>
          <t>Làm quen</t>
        </is>
      </c>
      <c r="J325" s="3" t="inlineStr">
        <is>
          <t>Tiếng nào có dấu ngã?</t>
        </is>
      </c>
      <c r="K325" s="3" t="inlineStr">
        <is>
          <t>A. đỗ | B. đổ | C. đồ</t>
        </is>
      </c>
      <c r="L325" s="3" t="inlineStr">
        <is>
          <t>A</t>
        </is>
      </c>
      <c r="M325" s="3" t="inlineStr">
        <is>
          <t>Dấu ngã là nét lượn sóng ( ~ ), như trong 'đỗ'.</t>
        </is>
      </c>
      <c r="N325" s="3" t="n"/>
      <c r="O325" s="14" t="n">
        <v>30</v>
      </c>
      <c r="P325" s="14">
        <f>INDEX(Khung_cap_do!$H$2:$H$6,H325)</f>
        <v/>
      </c>
      <c r="Q325" s="3" t="inlineStr">
        <is>
          <t>V1.AM.02</t>
        </is>
      </c>
      <c r="R325" s="3" t="inlineStr">
        <is>
          <t>TV.DAUTHANH</t>
        </is>
      </c>
    </row>
    <row r="326">
      <c r="A326" s="3" t="inlineStr">
        <is>
          <t>tv1-kntt-t02-q4</t>
        </is>
      </c>
      <c r="B326" s="3" t="inlineStr">
        <is>
          <t>Tiếng Việt</t>
        </is>
      </c>
      <c r="C326" s="3" t="inlineStr">
        <is>
          <t>Kết nối tri thức</t>
        </is>
      </c>
      <c r="D326" s="3" t="inlineStr">
        <is>
          <t>Tuần 2 (Bài 6–10)</t>
        </is>
      </c>
      <c r="E326" s="3" t="inlineStr">
        <is>
          <t>Phần 1. Âm và chữ (tuần 1–6)</t>
        </is>
      </c>
      <c r="F326" s="3" t="inlineStr">
        <is>
          <t>Tuần 2: o, ô, ơ, d, đ</t>
        </is>
      </c>
      <c r="G326" s="3" t="inlineStr">
        <is>
          <t>Chọn đáp án</t>
        </is>
      </c>
      <c r="H326" s="14" t="n">
        <v>1</v>
      </c>
      <c r="I326" s="3" t="inlineStr">
        <is>
          <t>Làm quen</t>
        </is>
      </c>
      <c r="J326" s="3" t="inlineStr">
        <is>
          <t>Tiếng 'đỏ' bắt đầu bằng chữ nào?</t>
        </is>
      </c>
      <c r="K326" s="3" t="inlineStr">
        <is>
          <t>A. d | B. đ | C. b</t>
        </is>
      </c>
      <c r="L326" s="3" t="inlineStr">
        <is>
          <t>B</t>
        </is>
      </c>
      <c r="M326" s="3" t="inlineStr">
        <is>
          <t>Chữ đ có thêm nét gạch ngang, khác chữ d.</t>
        </is>
      </c>
      <c r="N326" s="3" t="n"/>
      <c r="O326" s="14" t="n">
        <v>30</v>
      </c>
      <c r="P326" s="14">
        <f>INDEX(Khung_cap_do!$H$2:$H$6,H326)</f>
        <v/>
      </c>
      <c r="Q326" s="3" t="inlineStr">
        <is>
          <t>V1.AM.01</t>
        </is>
      </c>
      <c r="R326" s="3" t="inlineStr">
        <is>
          <t>TV.AMCHU</t>
        </is>
      </c>
    </row>
    <row r="327">
      <c r="A327" s="3" t="inlineStr">
        <is>
          <t>tv1-kntt-t02-q5</t>
        </is>
      </c>
      <c r="B327" s="3" t="inlineStr">
        <is>
          <t>Tiếng Việt</t>
        </is>
      </c>
      <c r="C327" s="3" t="inlineStr">
        <is>
          <t>Kết nối tri thức</t>
        </is>
      </c>
      <c r="D327" s="3" t="inlineStr">
        <is>
          <t>Tuần 2 (Bài 6–10)</t>
        </is>
      </c>
      <c r="E327" s="3" t="inlineStr">
        <is>
          <t>Phần 1. Âm và chữ (tuần 1–6)</t>
        </is>
      </c>
      <c r="F327" s="3" t="inlineStr">
        <is>
          <t>Tuần 2: o, ô, ơ, d, đ</t>
        </is>
      </c>
      <c r="G327" s="3" t="inlineStr">
        <is>
          <t>Chọn nhiều đáp án</t>
        </is>
      </c>
      <c r="H327" s="14" t="n">
        <v>2</v>
      </c>
      <c r="I327" s="3" t="inlineStr">
        <is>
          <t>Cơ bản</t>
        </is>
      </c>
      <c r="J327" s="3" t="inlineStr">
        <is>
          <t>Chọn TẤT CẢ các tiếng có âm ô</t>
        </is>
      </c>
      <c r="K327" s="3" t="inlineStr">
        <is>
          <t>A. cô | B. co | C. bố | D. bơ | E. đồ</t>
        </is>
      </c>
      <c r="L327" s="3" t="inlineStr">
        <is>
          <t>A, C, E</t>
        </is>
      </c>
      <c r="M327" s="3" t="inlineStr">
        <is>
          <t>'cô', 'bố', 'đồ' có ô (chữ o đội mũ). 'co' là o, 'bơ' là ơ.</t>
        </is>
      </c>
      <c r="N327" s="3" t="n"/>
      <c r="O327" s="14" t="n">
        <v>50</v>
      </c>
      <c r="P327" s="14">
        <f>INDEX(Khung_cap_do!$H$2:$H$6,H327)</f>
        <v/>
      </c>
      <c r="Q327" s="3" t="inlineStr">
        <is>
          <t>V1.AM.01</t>
        </is>
      </c>
      <c r="R327" s="3" t="inlineStr">
        <is>
          <t>TV.AMCHU</t>
        </is>
      </c>
    </row>
    <row r="328">
      <c r="A328" s="3" t="inlineStr">
        <is>
          <t>tv1-kntt-t02-q6</t>
        </is>
      </c>
      <c r="B328" s="3" t="inlineStr">
        <is>
          <t>Tiếng Việt</t>
        </is>
      </c>
      <c r="C328" s="3" t="inlineStr">
        <is>
          <t>Kết nối tri thức</t>
        </is>
      </c>
      <c r="D328" s="3" t="inlineStr">
        <is>
          <t>Tuần 2 (Bài 6–10)</t>
        </is>
      </c>
      <c r="E328" s="3" t="inlineStr">
        <is>
          <t>Phần 1. Âm và chữ (tuần 1–6)</t>
        </is>
      </c>
      <c r="F328" s="3" t="inlineStr">
        <is>
          <t>Tuần 2: o, ô, ơ, d, đ</t>
        </is>
      </c>
      <c r="G328" s="3" t="inlineStr">
        <is>
          <t>Ghép cặp</t>
        </is>
      </c>
      <c r="H328" s="14" t="n">
        <v>2</v>
      </c>
      <c r="I328" s="3" t="inlineStr">
        <is>
          <t>Cơ bản</t>
        </is>
      </c>
      <c r="J328" s="3" t="inlineStr">
        <is>
          <t>Ghép tiếng với hình đúng</t>
        </is>
      </c>
      <c r="K328" s="3" t="inlineStr">
        <is>
          <t>bò ↔ ? / dê ↔ ? / cờ ↔ ?</t>
        </is>
      </c>
      <c r="L328" s="3" t="inlineStr">
        <is>
          <t>bò – 🐄; dê – 🐐; cờ – 🚩</t>
        </is>
      </c>
      <c r="M328" s="3" t="inlineStr">
        <is>
          <t>bò – con bò; dê – con dê; cờ – lá cờ.</t>
        </is>
      </c>
      <c r="N328" s="3" t="n"/>
      <c r="O328" s="14" t="n">
        <v>55</v>
      </c>
      <c r="P328" s="14">
        <f>INDEX(Khung_cap_do!$H$2:$H$6,H328)</f>
        <v/>
      </c>
      <c r="Q328" s="3" t="inlineStr">
        <is>
          <t>V1.DOC.05</t>
        </is>
      </c>
      <c r="R328" s="3" t="inlineStr">
        <is>
          <t>TV.NOITU</t>
        </is>
      </c>
    </row>
    <row r="329">
      <c r="A329" s="3" t="inlineStr">
        <is>
          <t>tv1-kntt-t02-q7</t>
        </is>
      </c>
      <c r="B329" s="3" t="inlineStr">
        <is>
          <t>Tiếng Việt</t>
        </is>
      </c>
      <c r="C329" s="3" t="inlineStr">
        <is>
          <t>Kết nối tri thức</t>
        </is>
      </c>
      <c r="D329" s="3" t="inlineStr">
        <is>
          <t>Tuần 2 (Bài 6–10)</t>
        </is>
      </c>
      <c r="E329" s="3" t="inlineStr">
        <is>
          <t>Phần 1. Âm và chữ (tuần 1–6)</t>
        </is>
      </c>
      <c r="F329" s="3" t="inlineStr">
        <is>
          <t>Tuần 2: o, ô, ơ, d, đ</t>
        </is>
      </c>
      <c r="G329" s="3" t="inlineStr">
        <is>
          <t>Điền đáp án</t>
        </is>
      </c>
      <c r="H329" s="14" t="n">
        <v>2</v>
      </c>
      <c r="I329" s="3" t="inlineStr">
        <is>
          <t>Cơ bản</t>
        </is>
      </c>
      <c r="J329" s="3" t="inlineStr">
        <is>
          <t>Ghép âm d với âm ê. Được tiếng gì?</t>
        </is>
      </c>
      <c r="K329" s="3" t="inlineStr"/>
      <c r="L329" s="3" t="inlineStr">
        <is>
          <t>dê</t>
        </is>
      </c>
      <c r="M329" s="3" t="inlineStr">
        <is>
          <t>d – ê – dê (con dê).</t>
        </is>
      </c>
      <c r="N329" s="3" t="n"/>
      <c r="O329" s="14" t="n">
        <v>50</v>
      </c>
      <c r="P329" s="14">
        <f>INDEX(Khung_cap_do!$H$2:$H$6,H329)</f>
        <v/>
      </c>
      <c r="Q329" s="3" t="inlineStr">
        <is>
          <t>V1.DOC.01</t>
        </is>
      </c>
      <c r="R329" s="3" t="inlineStr">
        <is>
          <t>TV.GHEPVAN</t>
        </is>
      </c>
    </row>
    <row r="330">
      <c r="A330" s="3" t="inlineStr">
        <is>
          <t>tv1-kntt-t02-q8</t>
        </is>
      </c>
      <c r="B330" s="3" t="inlineStr">
        <is>
          <t>Tiếng Việt</t>
        </is>
      </c>
      <c r="C330" s="3" t="inlineStr">
        <is>
          <t>Kết nối tri thức</t>
        </is>
      </c>
      <c r="D330" s="3" t="inlineStr">
        <is>
          <t>Tuần 2 (Bài 6–10)</t>
        </is>
      </c>
      <c r="E330" s="3" t="inlineStr">
        <is>
          <t>Phần 1. Âm và chữ (tuần 1–6)</t>
        </is>
      </c>
      <c r="F330" s="3" t="inlineStr">
        <is>
          <t>Tuần 2: o, ô, ơ, d, đ</t>
        </is>
      </c>
      <c r="G330" s="3" t="inlineStr">
        <is>
          <t>Sắp xếp</t>
        </is>
      </c>
      <c r="H330" s="14" t="n">
        <v>2</v>
      </c>
      <c r="I330" s="3" t="inlineStr">
        <is>
          <t>Cơ bản</t>
        </is>
      </c>
      <c r="J330" s="3" t="inlineStr">
        <is>
          <t>Sắp xếp các tiếng thành câu</t>
        </is>
      </c>
      <c r="K330" s="3" t="inlineStr">
        <is>
          <t>Bé / bơ / có</t>
        </is>
      </c>
      <c r="L330" s="3" t="inlineStr">
        <is>
          <t>Bé → có → bơ</t>
        </is>
      </c>
      <c r="M330" s="3" t="inlineStr">
        <is>
          <t>Câu đúng: Bé có bơ.</t>
        </is>
      </c>
      <c r="N330" s="3" t="n"/>
      <c r="O330" s="14" t="n">
        <v>55</v>
      </c>
      <c r="P330" s="14">
        <f>INDEX(Khung_cap_do!$H$2:$H$6,H330)</f>
        <v/>
      </c>
      <c r="Q330" s="3" t="inlineStr">
        <is>
          <t>V1.DOC.01</t>
        </is>
      </c>
      <c r="R330" s="3" t="inlineStr">
        <is>
          <t>TV.XEPCAU</t>
        </is>
      </c>
    </row>
    <row r="331">
      <c r="A331" s="3" t="inlineStr">
        <is>
          <t>tv1-kntt-t02-q9</t>
        </is>
      </c>
      <c r="B331" s="3" t="inlineStr">
        <is>
          <t>Tiếng Việt</t>
        </is>
      </c>
      <c r="C331" s="3" t="inlineStr">
        <is>
          <t>Kết nối tri thức</t>
        </is>
      </c>
      <c r="D331" s="3" t="inlineStr">
        <is>
          <t>Tuần 2 (Bài 6–10)</t>
        </is>
      </c>
      <c r="E331" s="3" t="inlineStr">
        <is>
          <t>Phần 1. Âm và chữ (tuần 1–6)</t>
        </is>
      </c>
      <c r="F331" s="3" t="inlineStr">
        <is>
          <t>Tuần 2: o, ô, ơ, d, đ</t>
        </is>
      </c>
      <c r="G331" s="3" t="inlineStr">
        <is>
          <t>Chọn đáp án</t>
        </is>
      </c>
      <c r="H331" s="14" t="n">
        <v>3</v>
      </c>
      <c r="I331" s="3" t="inlineStr">
        <is>
          <t>Vận dụng</t>
        </is>
      </c>
      <c r="J331" s="3" t="inlineStr">
        <is>
          <t>Đọc câu: 'Bò có cỏ.' Bò có gì?</t>
        </is>
      </c>
      <c r="K331" s="3" t="inlineStr">
        <is>
          <t>A. cỏ | B. cò | C. cờ</t>
        </is>
      </c>
      <c r="L331" s="3" t="inlineStr">
        <is>
          <t>A</t>
        </is>
      </c>
      <c r="M331" s="3" t="inlineStr">
        <is>
          <t>Câu nói bò có cỏ.</t>
        </is>
      </c>
      <c r="N331" s="3" t="inlineStr">
        <is>
          <t>Đọc chậm từng tiếng: Bò – có – cỏ. Tiếng đứng sau 'có' là 'cỏ' (dấu hỏi). Bò có cỏ.</t>
        </is>
      </c>
      <c r="O331" s="14" t="n">
        <v>50</v>
      </c>
      <c r="P331" s="14">
        <f>INDEX(Khung_cap_do!$H$2:$H$6,H331)</f>
        <v/>
      </c>
      <c r="Q331" s="3" t="inlineStr">
        <is>
          <t>V1.DOC.04</t>
        </is>
      </c>
      <c r="R331" s="3" t="inlineStr">
        <is>
          <t>TV.DOCHIEU</t>
        </is>
      </c>
    </row>
    <row r="332">
      <c r="A332" s="3" t="inlineStr">
        <is>
          <t>tv1-kntt-t02-q10</t>
        </is>
      </c>
      <c r="B332" s="3" t="inlineStr">
        <is>
          <t>Tiếng Việt</t>
        </is>
      </c>
      <c r="C332" s="3" t="inlineStr">
        <is>
          <t>Kết nối tri thức</t>
        </is>
      </c>
      <c r="D332" s="3" t="inlineStr">
        <is>
          <t>Tuần 2 (Bài 6–10)</t>
        </is>
      </c>
      <c r="E332" s="3" t="inlineStr">
        <is>
          <t>Phần 1. Âm và chữ (tuần 1–6)</t>
        </is>
      </c>
      <c r="F332" s="3" t="inlineStr">
        <is>
          <t>Tuần 2: o, ô, ơ, d, đ</t>
        </is>
      </c>
      <c r="G332" s="3" t="inlineStr">
        <is>
          <t>Đúng / Sai</t>
        </is>
      </c>
      <c r="H332" s="14" t="n">
        <v>1</v>
      </c>
      <c r="I332" s="3" t="inlineStr">
        <is>
          <t>Làm quen</t>
        </is>
      </c>
      <c r="J332" s="3" t="inlineStr">
        <is>
          <t>Tiếng 'dễ' có dấu ngã. Đúng hay sai?</t>
        </is>
      </c>
      <c r="K332" s="3" t="inlineStr">
        <is>
          <t>A. Đúng | B. Sai</t>
        </is>
      </c>
      <c r="L332" s="3" t="inlineStr">
        <is>
          <t>A</t>
        </is>
      </c>
      <c r="M332" s="3" t="inlineStr">
        <is>
          <t>'dễ' có dấu ngã trên chữ ê.</t>
        </is>
      </c>
      <c r="N332" s="3" t="n"/>
      <c r="O332" s="14" t="n">
        <v>30</v>
      </c>
      <c r="P332" s="14">
        <f>INDEX(Khung_cap_do!$H$2:$H$6,H332)</f>
        <v/>
      </c>
      <c r="Q332" s="3" t="inlineStr">
        <is>
          <t>V1.AM.02</t>
        </is>
      </c>
      <c r="R332" s="3" t="inlineStr">
        <is>
          <t>TV.DAUTHANH</t>
        </is>
      </c>
    </row>
    <row r="333">
      <c r="A333" s="3" t="inlineStr">
        <is>
          <t>tv1-kntt-t03-q1</t>
        </is>
      </c>
      <c r="B333" s="3" t="inlineStr">
        <is>
          <t>Tiếng Việt</t>
        </is>
      </c>
      <c r="C333" s="3" t="inlineStr">
        <is>
          <t>Kết nối tri thức</t>
        </is>
      </c>
      <c r="D333" s="3" t="inlineStr">
        <is>
          <t>Tuần 3 (Bài 11–15)</t>
        </is>
      </c>
      <c r="E333" s="3" t="inlineStr">
        <is>
          <t>Phần 1. Âm và chữ (tuần 1–6)</t>
        </is>
      </c>
      <c r="F333" s="3" t="inlineStr">
        <is>
          <t>Tuần 3: i, k, h, l, u, ư, ch, kh</t>
        </is>
      </c>
      <c r="G333" s="3" t="inlineStr">
        <is>
          <t>Chọn đáp án</t>
        </is>
      </c>
      <c r="H333" s="14" t="n">
        <v>1</v>
      </c>
      <c r="I333" s="3" t="inlineStr">
        <is>
          <t>Làm quen</t>
        </is>
      </c>
      <c r="J333" s="3" t="inlineStr">
        <is>
          <t>Tiếng 'khế' bắt đầu bằng âm nào?</t>
        </is>
      </c>
      <c r="K333" s="3" t="inlineStr">
        <is>
          <t>A. kh | B. ch | C. k</t>
        </is>
      </c>
      <c r="L333" s="3" t="inlineStr">
        <is>
          <t>A</t>
        </is>
      </c>
      <c r="M333" s="3" t="inlineStr">
        <is>
          <t>'khế' bắt đầu bằng kh (hai chữ k và h).</t>
        </is>
      </c>
      <c r="N333" s="3" t="n"/>
      <c r="O333" s="14" t="n">
        <v>30</v>
      </c>
      <c r="P333" s="14">
        <f>INDEX(Khung_cap_do!$H$2:$H$6,H333)</f>
        <v/>
      </c>
      <c r="Q333" s="3" t="inlineStr">
        <is>
          <t>V1.AM.01</t>
        </is>
      </c>
      <c r="R333" s="3" t="inlineStr">
        <is>
          <t>TV.AMCHU</t>
        </is>
      </c>
    </row>
    <row r="334">
      <c r="A334" s="3" t="inlineStr">
        <is>
          <t>tv1-kntt-t03-q2</t>
        </is>
      </c>
      <c r="B334" s="3" t="inlineStr">
        <is>
          <t>Tiếng Việt</t>
        </is>
      </c>
      <c r="C334" s="3" t="inlineStr">
        <is>
          <t>Kết nối tri thức</t>
        </is>
      </c>
      <c r="D334" s="3" t="inlineStr">
        <is>
          <t>Tuần 3 (Bài 11–15)</t>
        </is>
      </c>
      <c r="E334" s="3" t="inlineStr">
        <is>
          <t>Phần 1. Âm và chữ (tuần 1–6)</t>
        </is>
      </c>
      <c r="F334" s="3" t="inlineStr">
        <is>
          <t>Tuần 3: i, k, h, l, u, ư, ch, kh</t>
        </is>
      </c>
      <c r="G334" s="3" t="inlineStr">
        <is>
          <t>Chọn đáp án</t>
        </is>
      </c>
      <c r="H334" s="14" t="n">
        <v>2</v>
      </c>
      <c r="I334" s="3" t="inlineStr">
        <is>
          <t>Cơ bản</t>
        </is>
      </c>
      <c r="J334" s="3" t="inlineStr">
        <is>
          <t>Điền c hay k: thước ...ẻ</t>
        </is>
      </c>
      <c r="K334" s="3" t="inlineStr">
        <is>
          <t>A. c | B. k</t>
        </is>
      </c>
      <c r="L334" s="3" t="inlineStr">
        <is>
          <t>B</t>
        </is>
      </c>
      <c r="M334" s="3" t="inlineStr">
        <is>
          <t>Đứng trước e, ê, i ta viết k: thước kẻ.</t>
        </is>
      </c>
      <c r="N334" s="3" t="inlineStr">
        <is>
          <t>Ghi nhớ: âm "cờ" đứng trước e, ê, i thì viết bằng chữ k (kẻ, kê, kì). Đứng trước các âm khác thì viết c (cá, cô, cũ).</t>
        </is>
      </c>
      <c r="O334" s="14" t="n">
        <v>40</v>
      </c>
      <c r="P334" s="14">
        <f>INDEX(Khung_cap_do!$H$2:$H$6,H334)</f>
        <v/>
      </c>
      <c r="Q334" s="3" t="inlineStr">
        <is>
          <t>V1.AM.04</t>
        </is>
      </c>
      <c r="R334" s="3" t="inlineStr">
        <is>
          <t>TV.CHINHTA</t>
        </is>
      </c>
    </row>
    <row r="335">
      <c r="A335" s="3" t="inlineStr">
        <is>
          <t>tv1-kntt-t03-q3</t>
        </is>
      </c>
      <c r="B335" s="3" t="inlineStr">
        <is>
          <t>Tiếng Việt</t>
        </is>
      </c>
      <c r="C335" s="3" t="inlineStr">
        <is>
          <t>Kết nối tri thức</t>
        </is>
      </c>
      <c r="D335" s="3" t="inlineStr">
        <is>
          <t>Tuần 3 (Bài 11–15)</t>
        </is>
      </c>
      <c r="E335" s="3" t="inlineStr">
        <is>
          <t>Phần 1. Âm và chữ (tuần 1–6)</t>
        </is>
      </c>
      <c r="F335" s="3" t="inlineStr">
        <is>
          <t>Tuần 3: i, k, h, l, u, ư, ch, kh</t>
        </is>
      </c>
      <c r="G335" s="3" t="inlineStr">
        <is>
          <t>Chọn nhiều đáp án</t>
        </is>
      </c>
      <c r="H335" s="14" t="n">
        <v>3</v>
      </c>
      <c r="I335" s="3" t="inlineStr">
        <is>
          <t>Vận dụng</t>
        </is>
      </c>
      <c r="J335" s="3" t="inlineStr">
        <is>
          <t>Chọn TẤT CẢ các tiếng viết ĐÚNG chính tả</t>
        </is>
      </c>
      <c r="K335" s="3" t="inlineStr">
        <is>
          <t>A. kế | B. cá | C. kì | D. cê | E. kô</t>
        </is>
      </c>
      <c r="L335" s="3" t="inlineStr">
        <is>
          <t>A, B, C</t>
        </is>
      </c>
      <c r="M335" s="3" t="inlineStr">
        <is>
          <t>k đi với e, ê, i (kế, kì); c đi với a, o, ô... (cá). 'cê', 'kô' viết sai.</t>
        </is>
      </c>
      <c r="N335" s="3" t="inlineStr">
        <is>
          <t>Nhớ quy tắc: k đứng trước e, ê, i; c đứng trước các âm còn lại. 'kế', 'kì', 'cá' viết đúng. 'cê' phải viết là 'kê', 'kô' phải viết là 'cô'.</t>
        </is>
      </c>
      <c r="O335" s="14" t="n">
        <v>60</v>
      </c>
      <c r="P335" s="14">
        <f>INDEX(Khung_cap_do!$H$2:$H$6,H335)</f>
        <v/>
      </c>
      <c r="Q335" s="3" t="inlineStr">
        <is>
          <t>V1.AM.04</t>
        </is>
      </c>
      <c r="R335" s="3" t="inlineStr">
        <is>
          <t>TV.CHINHTA</t>
        </is>
      </c>
    </row>
    <row r="336">
      <c r="A336" s="3" t="inlineStr">
        <is>
          <t>tv1-kntt-t03-q4</t>
        </is>
      </c>
      <c r="B336" s="3" t="inlineStr">
        <is>
          <t>Tiếng Việt</t>
        </is>
      </c>
      <c r="C336" s="3" t="inlineStr">
        <is>
          <t>Kết nối tri thức</t>
        </is>
      </c>
      <c r="D336" s="3" t="inlineStr">
        <is>
          <t>Tuần 3 (Bài 11–15)</t>
        </is>
      </c>
      <c r="E336" s="3" t="inlineStr">
        <is>
          <t>Phần 1. Âm và chữ (tuần 1–6)</t>
        </is>
      </c>
      <c r="F336" s="3" t="inlineStr">
        <is>
          <t>Tuần 3: i, k, h, l, u, ư, ch, kh</t>
        </is>
      </c>
      <c r="G336" s="3" t="inlineStr">
        <is>
          <t>Ghép cặp</t>
        </is>
      </c>
      <c r="H336" s="14" t="n">
        <v>2</v>
      </c>
      <c r="I336" s="3" t="inlineStr">
        <is>
          <t>Cơ bản</t>
        </is>
      </c>
      <c r="J336" s="3" t="inlineStr">
        <is>
          <t>Ghép tiếng với hình đúng</t>
        </is>
      </c>
      <c r="K336" s="3" t="inlineStr">
        <is>
          <t>chó ↔ ? / khỉ ↔ ? / lá ↔ ?</t>
        </is>
      </c>
      <c r="L336" s="3" t="inlineStr">
        <is>
          <t>chó – 🐕; khỉ – 🐒; lá – 🍃</t>
        </is>
      </c>
      <c r="M336" s="3" t="inlineStr">
        <is>
          <t>chó – con chó; khỉ – con khỉ; lá – chiếc lá.</t>
        </is>
      </c>
      <c r="N336" s="3" t="n"/>
      <c r="O336" s="14" t="n">
        <v>55</v>
      </c>
      <c r="P336" s="14">
        <f>INDEX(Khung_cap_do!$H$2:$H$6,H336)</f>
        <v/>
      </c>
      <c r="Q336" s="3" t="inlineStr">
        <is>
          <t>V1.DOC.05</t>
        </is>
      </c>
      <c r="R336" s="3" t="inlineStr">
        <is>
          <t>TV.NOITU</t>
        </is>
      </c>
    </row>
    <row r="337">
      <c r="A337" s="3" t="inlineStr">
        <is>
          <t>tv1-kntt-t03-q5</t>
        </is>
      </c>
      <c r="B337" s="3" t="inlineStr">
        <is>
          <t>Tiếng Việt</t>
        </is>
      </c>
      <c r="C337" s="3" t="inlineStr">
        <is>
          <t>Kết nối tri thức</t>
        </is>
      </c>
      <c r="D337" s="3" t="inlineStr">
        <is>
          <t>Tuần 3 (Bài 11–15)</t>
        </is>
      </c>
      <c r="E337" s="3" t="inlineStr">
        <is>
          <t>Phần 1. Âm và chữ (tuần 1–6)</t>
        </is>
      </c>
      <c r="F337" s="3" t="inlineStr">
        <is>
          <t>Tuần 3: i, k, h, l, u, ư, ch, kh</t>
        </is>
      </c>
      <c r="G337" s="3" t="inlineStr">
        <is>
          <t>Điền đáp án</t>
        </is>
      </c>
      <c r="H337" s="14" t="n">
        <v>2</v>
      </c>
      <c r="I337" s="3" t="inlineStr">
        <is>
          <t>Cơ bản</t>
        </is>
      </c>
      <c r="J337" s="3" t="inlineStr">
        <is>
          <t>Ghép âm h với âm ô và dấu huyền. Được tiếng gì?</t>
        </is>
      </c>
      <c r="K337" s="3" t="inlineStr"/>
      <c r="L337" s="3" t="inlineStr">
        <is>
          <t>hồ</t>
        </is>
      </c>
      <c r="M337" s="3" t="inlineStr">
        <is>
          <t>h – ô – hô – huyền – hồ.</t>
        </is>
      </c>
      <c r="N337" s="3" t="n"/>
      <c r="O337" s="14" t="n">
        <v>50</v>
      </c>
      <c r="P337" s="14">
        <f>INDEX(Khung_cap_do!$H$2:$H$6,H337)</f>
        <v/>
      </c>
      <c r="Q337" s="3" t="inlineStr">
        <is>
          <t>V1.DOC.01</t>
        </is>
      </c>
      <c r="R337" s="3" t="inlineStr">
        <is>
          <t>TV.GHEPVAN</t>
        </is>
      </c>
    </row>
    <row r="338">
      <c r="A338" s="3" t="inlineStr">
        <is>
          <t>tv1-kntt-t03-q6</t>
        </is>
      </c>
      <c r="B338" s="3" t="inlineStr">
        <is>
          <t>Tiếng Việt</t>
        </is>
      </c>
      <c r="C338" s="3" t="inlineStr">
        <is>
          <t>Kết nối tri thức</t>
        </is>
      </c>
      <c r="D338" s="3" t="inlineStr">
        <is>
          <t>Tuần 3 (Bài 11–15)</t>
        </is>
      </c>
      <c r="E338" s="3" t="inlineStr">
        <is>
          <t>Phần 1. Âm và chữ (tuần 1–6)</t>
        </is>
      </c>
      <c r="F338" s="3" t="inlineStr">
        <is>
          <t>Tuần 3: i, k, h, l, u, ư, ch, kh</t>
        </is>
      </c>
      <c r="G338" s="3" t="inlineStr">
        <is>
          <t>Chọn đáp án</t>
        </is>
      </c>
      <c r="H338" s="14" t="n">
        <v>1</v>
      </c>
      <c r="I338" s="3" t="inlineStr">
        <is>
          <t>Làm quen</t>
        </is>
      </c>
      <c r="J338" s="3" t="inlineStr">
        <is>
          <t>Tiếng nào có âm ư?</t>
        </is>
      </c>
      <c r="K338" s="3" t="inlineStr">
        <is>
          <t>A. củ | B. cử | C. cô</t>
        </is>
      </c>
      <c r="L338" s="3" t="inlineStr">
        <is>
          <t>B</t>
        </is>
      </c>
      <c r="M338" s="3" t="inlineStr">
        <is>
          <t>Chữ ư là chữ u có thêm cái râu: 'cử'.</t>
        </is>
      </c>
      <c r="N338" s="3" t="n"/>
      <c r="O338" s="14" t="n">
        <v>30</v>
      </c>
      <c r="P338" s="14">
        <f>INDEX(Khung_cap_do!$H$2:$H$6,H338)</f>
        <v/>
      </c>
      <c r="Q338" s="3" t="inlineStr">
        <is>
          <t>V1.AM.01</t>
        </is>
      </c>
      <c r="R338" s="3" t="inlineStr">
        <is>
          <t>TV.AMCHU</t>
        </is>
      </c>
    </row>
    <row r="339">
      <c r="A339" s="3" t="inlineStr">
        <is>
          <t>tv1-kntt-t03-q7</t>
        </is>
      </c>
      <c r="B339" s="3" t="inlineStr">
        <is>
          <t>Tiếng Việt</t>
        </is>
      </c>
      <c r="C339" s="3" t="inlineStr">
        <is>
          <t>Kết nối tri thức</t>
        </is>
      </c>
      <c r="D339" s="3" t="inlineStr">
        <is>
          <t>Tuần 3 (Bài 11–15)</t>
        </is>
      </c>
      <c r="E339" s="3" t="inlineStr">
        <is>
          <t>Phần 1. Âm và chữ (tuần 1–6)</t>
        </is>
      </c>
      <c r="F339" s="3" t="inlineStr">
        <is>
          <t>Tuần 3: i, k, h, l, u, ư, ch, kh</t>
        </is>
      </c>
      <c r="G339" s="3" t="inlineStr">
        <is>
          <t>Sắp xếp</t>
        </is>
      </c>
      <c r="H339" s="14" t="n">
        <v>2</v>
      </c>
      <c r="I339" s="3" t="inlineStr">
        <is>
          <t>Cơ bản</t>
        </is>
      </c>
      <c r="J339" s="3" t="inlineStr">
        <is>
          <t>Sắp xếp các tiếng thành câu</t>
        </is>
      </c>
      <c r="K339" s="3" t="inlineStr">
        <is>
          <t>Bé / đi / đò</t>
        </is>
      </c>
      <c r="L339" s="3" t="inlineStr">
        <is>
          <t>Bé → đi → đò</t>
        </is>
      </c>
      <c r="M339" s="3" t="inlineStr">
        <is>
          <t>Câu đúng: Bé đi đò.</t>
        </is>
      </c>
      <c r="N339" s="3" t="n"/>
      <c r="O339" s="14" t="n">
        <v>55</v>
      </c>
      <c r="P339" s="14">
        <f>INDEX(Khung_cap_do!$H$2:$H$6,H339)</f>
        <v/>
      </c>
      <c r="Q339" s="3" t="inlineStr">
        <is>
          <t>V1.DOC.01</t>
        </is>
      </c>
      <c r="R339" s="3" t="inlineStr">
        <is>
          <t>TV.XEPCAU</t>
        </is>
      </c>
    </row>
    <row r="340">
      <c r="A340" s="3" t="inlineStr">
        <is>
          <t>tv1-kntt-t03-q8</t>
        </is>
      </c>
      <c r="B340" s="3" t="inlineStr">
        <is>
          <t>Tiếng Việt</t>
        </is>
      </c>
      <c r="C340" s="3" t="inlineStr">
        <is>
          <t>Kết nối tri thức</t>
        </is>
      </c>
      <c r="D340" s="3" t="inlineStr">
        <is>
          <t>Tuần 3 (Bài 11–15)</t>
        </is>
      </c>
      <c r="E340" s="3" t="inlineStr">
        <is>
          <t>Phần 1. Âm và chữ (tuần 1–6)</t>
        </is>
      </c>
      <c r="F340" s="3" t="inlineStr">
        <is>
          <t>Tuần 3: i, k, h, l, u, ư, ch, kh</t>
        </is>
      </c>
      <c r="G340" s="3" t="inlineStr">
        <is>
          <t>Chọn đáp án</t>
        </is>
      </c>
      <c r="H340" s="14" t="n">
        <v>3</v>
      </c>
      <c r="I340" s="3" t="inlineStr">
        <is>
          <t>Vận dụng</t>
        </is>
      </c>
      <c r="J340" s="3" t="inlineStr">
        <is>
          <t>Đọc câu: 'Chị Kha có lê.' Chị Kha có gì?</t>
        </is>
      </c>
      <c r="K340" s="3" t="inlineStr">
        <is>
          <t>A. lê | B. khế | C. lá</t>
        </is>
      </c>
      <c r="L340" s="3" t="inlineStr">
        <is>
          <t>A</t>
        </is>
      </c>
      <c r="M340" s="3" t="inlineStr">
        <is>
          <t>Chị Kha có lê.</t>
        </is>
      </c>
      <c r="N340" s="3" t="inlineStr">
        <is>
          <t>Đọc chậm: Chị – Kha – có – lê. Tiếng đứng sau 'có' cho biết chị Kha có gì: lê.</t>
        </is>
      </c>
      <c r="O340" s="14" t="n">
        <v>50</v>
      </c>
      <c r="P340" s="14">
        <f>INDEX(Khung_cap_do!$H$2:$H$6,H340)</f>
        <v/>
      </c>
      <c r="Q340" s="3" t="inlineStr">
        <is>
          <t>V1.DOC.04</t>
        </is>
      </c>
      <c r="R340" s="3" t="inlineStr">
        <is>
          <t>TV.DOCHIEU</t>
        </is>
      </c>
    </row>
    <row r="341">
      <c r="A341" s="3" t="inlineStr">
        <is>
          <t>tv1-kntt-t03-q9</t>
        </is>
      </c>
      <c r="B341" s="3" t="inlineStr">
        <is>
          <t>Tiếng Việt</t>
        </is>
      </c>
      <c r="C341" s="3" t="inlineStr">
        <is>
          <t>Kết nối tri thức</t>
        </is>
      </c>
      <c r="D341" s="3" t="inlineStr">
        <is>
          <t>Tuần 3 (Bài 11–15)</t>
        </is>
      </c>
      <c r="E341" s="3" t="inlineStr">
        <is>
          <t>Phần 1. Âm và chữ (tuần 1–6)</t>
        </is>
      </c>
      <c r="F341" s="3" t="inlineStr">
        <is>
          <t>Tuần 3: i, k, h, l, u, ư, ch, kh</t>
        </is>
      </c>
      <c r="G341" s="3" t="inlineStr">
        <is>
          <t>Đúng / Sai</t>
        </is>
      </c>
      <c r="H341" s="14" t="n">
        <v>2</v>
      </c>
      <c r="I341" s="3" t="inlineStr">
        <is>
          <t>Cơ bản</t>
        </is>
      </c>
      <c r="J341" s="3" t="inlineStr">
        <is>
          <t>Viết 'kì' là đúng chính tả (k đứng trước i). Đúng hay sai?</t>
        </is>
      </c>
      <c r="K341" s="3" t="inlineStr">
        <is>
          <t>A. Đúng | B. Sai</t>
        </is>
      </c>
      <c r="L341" s="3" t="inlineStr">
        <is>
          <t>A</t>
        </is>
      </c>
      <c r="M341" s="3" t="inlineStr">
        <is>
          <t>Trước i viết k: kì.</t>
        </is>
      </c>
      <c r="N341" s="3" t="n"/>
      <c r="O341" s="14" t="n">
        <v>40</v>
      </c>
      <c r="P341" s="14">
        <f>INDEX(Khung_cap_do!$H$2:$H$6,H341)</f>
        <v/>
      </c>
      <c r="Q341" s="3" t="inlineStr">
        <is>
          <t>V1.AM.04</t>
        </is>
      </c>
      <c r="R341" s="3" t="inlineStr">
        <is>
          <t>TV.CHINHTA</t>
        </is>
      </c>
    </row>
    <row r="342">
      <c r="A342" s="3" t="inlineStr">
        <is>
          <t>tv1-kntt-t03-q10</t>
        </is>
      </c>
      <c r="B342" s="3" t="inlineStr">
        <is>
          <t>Tiếng Việt</t>
        </is>
      </c>
      <c r="C342" s="3" t="inlineStr">
        <is>
          <t>Kết nối tri thức</t>
        </is>
      </c>
      <c r="D342" s="3" t="inlineStr">
        <is>
          <t>Tuần 3 (Bài 11–15)</t>
        </is>
      </c>
      <c r="E342" s="3" t="inlineStr">
        <is>
          <t>Phần 1. Âm và chữ (tuần 1–6)</t>
        </is>
      </c>
      <c r="F342" s="3" t="inlineStr">
        <is>
          <t>Tuần 3: i, k, h, l, u, ư, ch, kh</t>
        </is>
      </c>
      <c r="G342" s="3" t="inlineStr">
        <is>
          <t>Chọn đáp án</t>
        </is>
      </c>
      <c r="H342" s="14" t="n">
        <v>1</v>
      </c>
      <c r="I342" s="3" t="inlineStr">
        <is>
          <t>Làm quen</t>
        </is>
      </c>
      <c r="J342" s="3" t="inlineStr">
        <is>
          <t>Con gì hay leo trèo, thích ăn chuối? Chọn tiếng đúng.</t>
        </is>
      </c>
      <c r="K342" s="3" t="inlineStr">
        <is>
          <t>A. khỉ | B. chó | C. dê</t>
        </is>
      </c>
      <c r="L342" s="3" t="inlineStr">
        <is>
          <t>A</t>
        </is>
      </c>
      <c r="M342" s="3" t="inlineStr">
        <is>
          <t>Con khỉ leo trèo giỏi, thích ăn chuối.</t>
        </is>
      </c>
      <c r="N342" s="3" t="n"/>
      <c r="O342" s="14" t="n">
        <v>30</v>
      </c>
      <c r="P342" s="14">
        <f>INDEX(Khung_cap_do!$H$2:$H$6,H342)</f>
        <v/>
      </c>
      <c r="Q342" s="3" t="inlineStr">
        <is>
          <t>V1.VIET.04</t>
        </is>
      </c>
      <c r="R342" s="3" t="inlineStr">
        <is>
          <t>TV.NOITU</t>
        </is>
      </c>
    </row>
    <row r="343">
      <c r="A343" s="3" t="inlineStr">
        <is>
          <t>tv1-kntt-t04-q1</t>
        </is>
      </c>
      <c r="B343" s="3" t="inlineStr">
        <is>
          <t>Tiếng Việt</t>
        </is>
      </c>
      <c r="C343" s="3" t="inlineStr">
        <is>
          <t>Kết nối tri thức</t>
        </is>
      </c>
      <c r="D343" s="3" t="inlineStr">
        <is>
          <t>Tuần 4 (Bài 16–20)</t>
        </is>
      </c>
      <c r="E343" s="3" t="inlineStr">
        <is>
          <t>Phần 1. Âm và chữ (tuần 1–6)</t>
        </is>
      </c>
      <c r="F343" s="3" t="inlineStr">
        <is>
          <t>Tuần 4: m, n, g, gi, gh, nh, ng, ngh</t>
        </is>
      </c>
      <c r="G343" s="3" t="inlineStr">
        <is>
          <t>Chọn đáp án</t>
        </is>
      </c>
      <c r="H343" s="14" t="n">
        <v>2</v>
      </c>
      <c r="I343" s="3" t="inlineStr">
        <is>
          <t>Cơ bản</t>
        </is>
      </c>
      <c r="J343" s="3" t="inlineStr">
        <is>
          <t>Điền g hay gh: cái ...ế</t>
        </is>
      </c>
      <c r="K343" s="3" t="inlineStr">
        <is>
          <t>A. g | B. gh</t>
        </is>
      </c>
      <c r="L343" s="3" t="inlineStr">
        <is>
          <t>B</t>
        </is>
      </c>
      <c r="M343" s="3" t="inlineStr">
        <is>
          <t>Trước e, ê, i viết gh: cái ghế.</t>
        </is>
      </c>
      <c r="N343" s="3" t="inlineStr">
        <is>
          <t>Âm "gờ" đứng trước e, ê, i thì viết gh (ghế, ghi, ghe). Đứng trước a, o, ô, ơ, u, ư thì viết g (gà, gỗ, gù).</t>
        </is>
      </c>
      <c r="O343" s="14" t="n">
        <v>40</v>
      </c>
      <c r="P343" s="14">
        <f>INDEX(Khung_cap_do!$H$2:$H$6,H343)</f>
        <v/>
      </c>
      <c r="Q343" s="3" t="inlineStr">
        <is>
          <t>V1.AM.04</t>
        </is>
      </c>
      <c r="R343" s="3" t="inlineStr">
        <is>
          <t>TV.CHINHTA</t>
        </is>
      </c>
    </row>
    <row r="344">
      <c r="A344" s="3" t="inlineStr">
        <is>
          <t>tv1-kntt-t04-q2</t>
        </is>
      </c>
      <c r="B344" s="3" t="inlineStr">
        <is>
          <t>Tiếng Việt</t>
        </is>
      </c>
      <c r="C344" s="3" t="inlineStr">
        <is>
          <t>Kết nối tri thức</t>
        </is>
      </c>
      <c r="D344" s="3" t="inlineStr">
        <is>
          <t>Tuần 4 (Bài 16–20)</t>
        </is>
      </c>
      <c r="E344" s="3" t="inlineStr">
        <is>
          <t>Phần 1. Âm và chữ (tuần 1–6)</t>
        </is>
      </c>
      <c r="F344" s="3" t="inlineStr">
        <is>
          <t>Tuần 4: m, n, g, gi, gh, nh, ng, ngh</t>
        </is>
      </c>
      <c r="G344" s="3" t="inlineStr">
        <is>
          <t>Chọn đáp án</t>
        </is>
      </c>
      <c r="H344" s="14" t="n">
        <v>2</v>
      </c>
      <c r="I344" s="3" t="inlineStr">
        <is>
          <t>Cơ bản</t>
        </is>
      </c>
      <c r="J344" s="3" t="inlineStr">
        <is>
          <t>Điền ng hay ngh: bắp ...ô</t>
        </is>
      </c>
      <c r="K344" s="3" t="inlineStr">
        <is>
          <t>A. ng | B. ngh</t>
        </is>
      </c>
      <c r="L344" s="3" t="inlineStr">
        <is>
          <t>A</t>
        </is>
      </c>
      <c r="M344" s="3" t="inlineStr">
        <is>
          <t>Trước ô viết ng: ngô. Chỉ trước e, ê, i mới viết ngh.</t>
        </is>
      </c>
      <c r="N344" s="3" t="n"/>
      <c r="O344" s="14" t="n">
        <v>40</v>
      </c>
      <c r="P344" s="14">
        <f>INDEX(Khung_cap_do!$H$2:$H$6,H344)</f>
        <v/>
      </c>
      <c r="Q344" s="3" t="inlineStr">
        <is>
          <t>V1.AM.04</t>
        </is>
      </c>
      <c r="R344" s="3" t="inlineStr">
        <is>
          <t>TV.CHINHTA</t>
        </is>
      </c>
    </row>
    <row r="345">
      <c r="A345" s="3" t="inlineStr">
        <is>
          <t>tv1-kntt-t04-q3</t>
        </is>
      </c>
      <c r="B345" s="3" t="inlineStr">
        <is>
          <t>Tiếng Việt</t>
        </is>
      </c>
      <c r="C345" s="3" t="inlineStr">
        <is>
          <t>Kết nối tri thức</t>
        </is>
      </c>
      <c r="D345" s="3" t="inlineStr">
        <is>
          <t>Tuần 4 (Bài 16–20)</t>
        </is>
      </c>
      <c r="E345" s="3" t="inlineStr">
        <is>
          <t>Phần 1. Âm và chữ (tuần 1–6)</t>
        </is>
      </c>
      <c r="F345" s="3" t="inlineStr">
        <is>
          <t>Tuần 4: m, n, g, gi, gh, nh, ng, ngh</t>
        </is>
      </c>
      <c r="G345" s="3" t="inlineStr">
        <is>
          <t>Chọn nhiều đáp án</t>
        </is>
      </c>
      <c r="H345" s="14" t="n">
        <v>3</v>
      </c>
      <c r="I345" s="3" t="inlineStr">
        <is>
          <t>Vận dụng</t>
        </is>
      </c>
      <c r="J345" s="3" t="inlineStr">
        <is>
          <t>Chọn TẤT CẢ các tiếng viết ĐÚNG chính tả</t>
        </is>
      </c>
      <c r="K345" s="3" t="inlineStr">
        <is>
          <t>A. ghế | B. gế | C. nghé | D. ngé | E. gà</t>
        </is>
      </c>
      <c r="L345" s="3" t="inlineStr">
        <is>
          <t>A, C, E</t>
        </is>
      </c>
      <c r="M345" s="3" t="inlineStr">
        <is>
          <t>Trước e, ê viết gh, ngh: ghế, nghé. Trước a viết g: gà.</t>
        </is>
      </c>
      <c r="N345" s="3" t="inlineStr">
        <is>
          <t>Trước e, ê, i viết gh và ngh: 'ghế', 'nghé' đúng; 'gế', 'ngé' sai. Trước a viết g: 'gà' đúng.</t>
        </is>
      </c>
      <c r="O345" s="14" t="n">
        <v>60</v>
      </c>
      <c r="P345" s="14">
        <f>INDEX(Khung_cap_do!$H$2:$H$6,H345)</f>
        <v/>
      </c>
      <c r="Q345" s="3" t="inlineStr">
        <is>
          <t>V1.AM.04</t>
        </is>
      </c>
      <c r="R345" s="3" t="inlineStr">
        <is>
          <t>TV.CHINHTA</t>
        </is>
      </c>
    </row>
    <row r="346">
      <c r="A346" s="3" t="inlineStr">
        <is>
          <t>tv1-kntt-t04-q4</t>
        </is>
      </c>
      <c r="B346" s="3" t="inlineStr">
        <is>
          <t>Tiếng Việt</t>
        </is>
      </c>
      <c r="C346" s="3" t="inlineStr">
        <is>
          <t>Kết nối tri thức</t>
        </is>
      </c>
      <c r="D346" s="3" t="inlineStr">
        <is>
          <t>Tuần 4 (Bài 16–20)</t>
        </is>
      </c>
      <c r="E346" s="3" t="inlineStr">
        <is>
          <t>Phần 1. Âm và chữ (tuần 1–6)</t>
        </is>
      </c>
      <c r="F346" s="3" t="inlineStr">
        <is>
          <t>Tuần 4: m, n, g, gi, gh, nh, ng, ngh</t>
        </is>
      </c>
      <c r="G346" s="3" t="inlineStr">
        <is>
          <t>Ghép cặp</t>
        </is>
      </c>
      <c r="H346" s="14" t="n">
        <v>2</v>
      </c>
      <c r="I346" s="3" t="inlineStr">
        <is>
          <t>Cơ bản</t>
        </is>
      </c>
      <c r="J346" s="3" t="inlineStr">
        <is>
          <t>Ghép tiếng với hình đúng</t>
        </is>
      </c>
      <c r="K346" s="3" t="inlineStr">
        <is>
          <t>nhà ↔ ? / gà ↔ ? / mũ ↔ ?</t>
        </is>
      </c>
      <c r="L346" s="3" t="inlineStr">
        <is>
          <t>nhà – 🏠; gà – 🐔; mũ – 🧢</t>
        </is>
      </c>
      <c r="M346" s="3" t="inlineStr">
        <is>
          <t>nhà – ngôi nhà; gà – con gà; mũ – cái mũ.</t>
        </is>
      </c>
      <c r="N346" s="3" t="n"/>
      <c r="O346" s="14" t="n">
        <v>55</v>
      </c>
      <c r="P346" s="14">
        <f>INDEX(Khung_cap_do!$H$2:$H$6,H346)</f>
        <v/>
      </c>
      <c r="Q346" s="3" t="inlineStr">
        <is>
          <t>V1.DOC.05</t>
        </is>
      </c>
      <c r="R346" s="3" t="inlineStr">
        <is>
          <t>TV.NOITU</t>
        </is>
      </c>
    </row>
    <row r="347">
      <c r="A347" s="3" t="inlineStr">
        <is>
          <t>tv1-kntt-t04-q5</t>
        </is>
      </c>
      <c r="B347" s="3" t="inlineStr">
        <is>
          <t>Tiếng Việt</t>
        </is>
      </c>
      <c r="C347" s="3" t="inlineStr">
        <is>
          <t>Kết nối tri thức</t>
        </is>
      </c>
      <c r="D347" s="3" t="inlineStr">
        <is>
          <t>Tuần 4 (Bài 16–20)</t>
        </is>
      </c>
      <c r="E347" s="3" t="inlineStr">
        <is>
          <t>Phần 1. Âm và chữ (tuần 1–6)</t>
        </is>
      </c>
      <c r="F347" s="3" t="inlineStr">
        <is>
          <t>Tuần 4: m, n, g, gi, gh, nh, ng, ngh</t>
        </is>
      </c>
      <c r="G347" s="3" t="inlineStr">
        <is>
          <t>Chọn đáp án</t>
        </is>
      </c>
      <c r="H347" s="14" t="n">
        <v>1</v>
      </c>
      <c r="I347" s="3" t="inlineStr">
        <is>
          <t>Làm quen</t>
        </is>
      </c>
      <c r="J347" s="3" t="inlineStr">
        <is>
          <t>Tiếng 'giỏ' bắt đầu bằng âm nào?</t>
        </is>
      </c>
      <c r="K347" s="3" t="inlineStr">
        <is>
          <t>A. g | B. gi | C. gh</t>
        </is>
      </c>
      <c r="L347" s="3" t="inlineStr">
        <is>
          <t>B</t>
        </is>
      </c>
      <c r="M347" s="3" t="inlineStr">
        <is>
          <t>'giỏ' bắt đầu bằng gi.</t>
        </is>
      </c>
      <c r="N347" s="3" t="n"/>
      <c r="O347" s="14" t="n">
        <v>30</v>
      </c>
      <c r="P347" s="14">
        <f>INDEX(Khung_cap_do!$H$2:$H$6,H347)</f>
        <v/>
      </c>
      <c r="Q347" s="3" t="inlineStr">
        <is>
          <t>V1.AM.01</t>
        </is>
      </c>
      <c r="R347" s="3" t="inlineStr">
        <is>
          <t>TV.AMCHU</t>
        </is>
      </c>
    </row>
    <row r="348">
      <c r="A348" s="3" t="inlineStr">
        <is>
          <t>tv1-kntt-t04-q6</t>
        </is>
      </c>
      <c r="B348" s="3" t="inlineStr">
        <is>
          <t>Tiếng Việt</t>
        </is>
      </c>
      <c r="C348" s="3" t="inlineStr">
        <is>
          <t>Kết nối tri thức</t>
        </is>
      </c>
      <c r="D348" s="3" t="inlineStr">
        <is>
          <t>Tuần 4 (Bài 16–20)</t>
        </is>
      </c>
      <c r="E348" s="3" t="inlineStr">
        <is>
          <t>Phần 1. Âm và chữ (tuần 1–6)</t>
        </is>
      </c>
      <c r="F348" s="3" t="inlineStr">
        <is>
          <t>Tuần 4: m, n, g, gi, gh, nh, ng, ngh</t>
        </is>
      </c>
      <c r="G348" s="3" t="inlineStr">
        <is>
          <t>Điền đáp án</t>
        </is>
      </c>
      <c r="H348" s="14" t="n">
        <v>2</v>
      </c>
      <c r="I348" s="3" t="inlineStr">
        <is>
          <t>Cơ bản</t>
        </is>
      </c>
      <c r="J348" s="3" t="inlineStr">
        <is>
          <t>Ghép âm nh với âm o và dấu hỏi. Được tiếng gì?</t>
        </is>
      </c>
      <c r="K348" s="3" t="inlineStr"/>
      <c r="L348" s="3" t="inlineStr">
        <is>
          <t>nhỏ</t>
        </is>
      </c>
      <c r="M348" s="3" t="inlineStr">
        <is>
          <t>nh – o – no – hỏi – nhỏ.</t>
        </is>
      </c>
      <c r="N348" s="3" t="n"/>
      <c r="O348" s="14" t="n">
        <v>50</v>
      </c>
      <c r="P348" s="14">
        <f>INDEX(Khung_cap_do!$H$2:$H$6,H348)</f>
        <v/>
      </c>
      <c r="Q348" s="3" t="inlineStr">
        <is>
          <t>V1.DOC.01</t>
        </is>
      </c>
      <c r="R348" s="3" t="inlineStr">
        <is>
          <t>TV.GHEPVAN</t>
        </is>
      </c>
    </row>
    <row r="349">
      <c r="A349" s="3" t="inlineStr">
        <is>
          <t>tv1-kntt-t04-q7</t>
        </is>
      </c>
      <c r="B349" s="3" t="inlineStr">
        <is>
          <t>Tiếng Việt</t>
        </is>
      </c>
      <c r="C349" s="3" t="inlineStr">
        <is>
          <t>Kết nối tri thức</t>
        </is>
      </c>
      <c r="D349" s="3" t="inlineStr">
        <is>
          <t>Tuần 4 (Bài 16–20)</t>
        </is>
      </c>
      <c r="E349" s="3" t="inlineStr">
        <is>
          <t>Phần 1. Âm và chữ (tuần 1–6)</t>
        </is>
      </c>
      <c r="F349" s="3" t="inlineStr">
        <is>
          <t>Tuần 4: m, n, g, gi, gh, nh, ng, ngh</t>
        </is>
      </c>
      <c r="G349" s="3" t="inlineStr">
        <is>
          <t>Sắp xếp</t>
        </is>
      </c>
      <c r="H349" s="14" t="n">
        <v>2</v>
      </c>
      <c r="I349" s="3" t="inlineStr">
        <is>
          <t>Cơ bản</t>
        </is>
      </c>
      <c r="J349" s="3" t="inlineStr">
        <is>
          <t>Sắp xếp các tiếng thành câu</t>
        </is>
      </c>
      <c r="K349" s="3" t="inlineStr">
        <is>
          <t>Mẹ / chợ / đi</t>
        </is>
      </c>
      <c r="L349" s="3" t="inlineStr">
        <is>
          <t>Mẹ → đi → chợ</t>
        </is>
      </c>
      <c r="M349" s="3" t="inlineStr">
        <is>
          <t>Câu đúng: Mẹ đi chợ.</t>
        </is>
      </c>
      <c r="N349" s="3" t="n"/>
      <c r="O349" s="14" t="n">
        <v>55</v>
      </c>
      <c r="P349" s="14">
        <f>INDEX(Khung_cap_do!$H$2:$H$6,H349)</f>
        <v/>
      </c>
      <c r="Q349" s="3" t="inlineStr">
        <is>
          <t>V1.DOC.01</t>
        </is>
      </c>
      <c r="R349" s="3" t="inlineStr">
        <is>
          <t>TV.XEPCAU</t>
        </is>
      </c>
    </row>
    <row r="350">
      <c r="A350" s="3" t="inlineStr">
        <is>
          <t>tv1-kntt-t04-q8</t>
        </is>
      </c>
      <c r="B350" s="3" t="inlineStr">
        <is>
          <t>Tiếng Việt</t>
        </is>
      </c>
      <c r="C350" s="3" t="inlineStr">
        <is>
          <t>Kết nối tri thức</t>
        </is>
      </c>
      <c r="D350" s="3" t="inlineStr">
        <is>
          <t>Tuần 4 (Bài 16–20)</t>
        </is>
      </c>
      <c r="E350" s="3" t="inlineStr">
        <is>
          <t>Phần 1. Âm và chữ (tuần 1–6)</t>
        </is>
      </c>
      <c r="F350" s="3" t="inlineStr">
        <is>
          <t>Tuần 4: m, n, g, gi, gh, nh, ng, ngh</t>
        </is>
      </c>
      <c r="G350" s="3" t="inlineStr">
        <is>
          <t>Chọn đáp án</t>
        </is>
      </c>
      <c r="H350" s="14" t="n">
        <v>3</v>
      </c>
      <c r="I350" s="3" t="inlineStr">
        <is>
          <t>Vận dụng</t>
        </is>
      </c>
      <c r="J350" s="3" t="inlineStr">
        <is>
          <t>Đọc câu: 'Nhà bà có ghế gỗ.' Ghế làm bằng gì?</t>
        </is>
      </c>
      <c r="K350" s="3" t="inlineStr">
        <is>
          <t>A. gỗ | B. đá | C. nhà</t>
        </is>
      </c>
      <c r="L350" s="3" t="inlineStr">
        <is>
          <t>A</t>
        </is>
      </c>
      <c r="M350" s="3" t="inlineStr">
        <is>
          <t>Ghế gỗ là ghế làm bằng gỗ.</t>
        </is>
      </c>
      <c r="N350" s="3" t="inlineStr">
        <is>
          <t>Đọc chậm: Nhà – bà – có – ghế – gỗ. 'Ghế gỗ' là ghế làm bằng gỗ.</t>
        </is>
      </c>
      <c r="O350" s="14" t="n">
        <v>50</v>
      </c>
      <c r="P350" s="14">
        <f>INDEX(Khung_cap_do!$H$2:$H$6,H350)</f>
        <v/>
      </c>
      <c r="Q350" s="3" t="inlineStr">
        <is>
          <t>V1.DOC.04</t>
        </is>
      </c>
      <c r="R350" s="3" t="inlineStr">
        <is>
          <t>TV.DOCHIEU</t>
        </is>
      </c>
    </row>
    <row r="351">
      <c r="A351" s="3" t="inlineStr">
        <is>
          <t>tv1-kntt-t04-q9</t>
        </is>
      </c>
      <c r="B351" s="3" t="inlineStr">
        <is>
          <t>Tiếng Việt</t>
        </is>
      </c>
      <c r="C351" s="3" t="inlineStr">
        <is>
          <t>Kết nối tri thức</t>
        </is>
      </c>
      <c r="D351" s="3" t="inlineStr">
        <is>
          <t>Tuần 4 (Bài 16–20)</t>
        </is>
      </c>
      <c r="E351" s="3" t="inlineStr">
        <is>
          <t>Phần 1. Âm và chữ (tuần 1–6)</t>
        </is>
      </c>
      <c r="F351" s="3" t="inlineStr">
        <is>
          <t>Tuần 4: m, n, g, gi, gh, nh, ng, ngh</t>
        </is>
      </c>
      <c r="G351" s="3" t="inlineStr">
        <is>
          <t>Đúng / Sai</t>
        </is>
      </c>
      <c r="H351" s="14" t="n">
        <v>2</v>
      </c>
      <c r="I351" s="3" t="inlineStr">
        <is>
          <t>Cơ bản</t>
        </is>
      </c>
      <c r="J351" s="3" t="inlineStr">
        <is>
          <t>Viết 'nghỉ' là đúng chính tả. Đúng hay sai?</t>
        </is>
      </c>
      <c r="K351" s="3" t="inlineStr">
        <is>
          <t>A. Đúng | B. Sai</t>
        </is>
      </c>
      <c r="L351" s="3" t="inlineStr">
        <is>
          <t>A</t>
        </is>
      </c>
      <c r="M351" s="3" t="inlineStr">
        <is>
          <t>Trước i viết ngh: nghỉ.</t>
        </is>
      </c>
      <c r="N351" s="3" t="n"/>
      <c r="O351" s="14" t="n">
        <v>40</v>
      </c>
      <c r="P351" s="14">
        <f>INDEX(Khung_cap_do!$H$2:$H$6,H351)</f>
        <v/>
      </c>
      <c r="Q351" s="3" t="inlineStr">
        <is>
          <t>V1.AM.04</t>
        </is>
      </c>
      <c r="R351" s="3" t="inlineStr">
        <is>
          <t>TV.CHINHTA</t>
        </is>
      </c>
    </row>
    <row r="352">
      <c r="A352" s="3" t="inlineStr">
        <is>
          <t>tv1-kntt-t04-q10</t>
        </is>
      </c>
      <c r="B352" s="3" t="inlineStr">
        <is>
          <t>Tiếng Việt</t>
        </is>
      </c>
      <c r="C352" s="3" t="inlineStr">
        <is>
          <t>Kết nối tri thức</t>
        </is>
      </c>
      <c r="D352" s="3" t="inlineStr">
        <is>
          <t>Tuần 4 (Bài 16–20)</t>
        </is>
      </c>
      <c r="E352" s="3" t="inlineStr">
        <is>
          <t>Phần 1. Âm và chữ (tuần 1–6)</t>
        </is>
      </c>
      <c r="F352" s="3" t="inlineStr">
        <is>
          <t>Tuần 4: m, n, g, gi, gh, nh, ng, ngh</t>
        </is>
      </c>
      <c r="G352" s="3" t="inlineStr">
        <is>
          <t>Chọn đáp án</t>
        </is>
      </c>
      <c r="H352" s="14" t="n">
        <v>3</v>
      </c>
      <c r="I352" s="3" t="inlineStr">
        <is>
          <t>Vận dụng</t>
        </is>
      </c>
      <c r="J352" s="3" t="inlineStr">
        <is>
          <t>Con của con trâu gọi là con gì?</t>
        </is>
      </c>
      <c r="K352" s="3" t="inlineStr">
        <is>
          <t>A. nghé | B. bê | C. dê</t>
        </is>
      </c>
      <c r="L352" s="3" t="inlineStr">
        <is>
          <t>A</t>
        </is>
      </c>
      <c r="M352" s="3" t="inlineStr">
        <is>
          <t>Con trâu con gọi là con nghé; con bò con gọi là con bê.</t>
        </is>
      </c>
      <c r="N352" s="3" t="inlineStr">
        <is>
          <t>Con non của mỗi con vật có tên riêng: trâu con là nghé, bò con là bê. Vì vậy chọn 'nghé'.</t>
        </is>
      </c>
      <c r="O352" s="14" t="n">
        <v>50</v>
      </c>
      <c r="P352" s="14">
        <f>INDEX(Khung_cap_do!$H$2:$H$6,H352)</f>
        <v/>
      </c>
      <c r="Q352" s="3" t="inlineStr">
        <is>
          <t>V1.VIET.04</t>
        </is>
      </c>
      <c r="R352" s="3" t="inlineStr">
        <is>
          <t>TV.NOITU</t>
        </is>
      </c>
    </row>
    <row r="353">
      <c r="A353" s="3" t="inlineStr">
        <is>
          <t>tv1-kntt-t05-q1</t>
        </is>
      </c>
      <c r="B353" s="3" t="inlineStr">
        <is>
          <t>Tiếng Việt</t>
        </is>
      </c>
      <c r="C353" s="3" t="inlineStr">
        <is>
          <t>Kết nối tri thức</t>
        </is>
      </c>
      <c r="D353" s="3" t="inlineStr">
        <is>
          <t>Tuần 5 (Bài 21–25)</t>
        </is>
      </c>
      <c r="E353" s="3" t="inlineStr">
        <is>
          <t>Phần 1. Âm và chữ (tuần 1–6)</t>
        </is>
      </c>
      <c r="F353" s="3" t="inlineStr">
        <is>
          <t>Tuần 5: r, s, t, tr, th, ia, ua, ưa</t>
        </is>
      </c>
      <c r="G353" s="3" t="inlineStr">
        <is>
          <t>Chọn đáp án</t>
        </is>
      </c>
      <c r="H353" s="14" t="n">
        <v>1</v>
      </c>
      <c r="I353" s="3" t="inlineStr">
        <is>
          <t>Làm quen</t>
        </is>
      </c>
      <c r="J353" s="3" t="inlineStr">
        <is>
          <t>Tiếng 'rùa' có vần gì?</t>
        </is>
      </c>
      <c r="K353" s="3" t="inlineStr">
        <is>
          <t>A. ua | B. ưa | C. ia</t>
        </is>
      </c>
      <c r="L353" s="3" t="inlineStr">
        <is>
          <t>A</t>
        </is>
      </c>
      <c r="M353" s="3" t="inlineStr">
        <is>
          <t>'rùa' gồm r và ua, dấu huyền.</t>
        </is>
      </c>
      <c r="N353" s="3" t="n"/>
      <c r="O353" s="14" t="n">
        <v>30</v>
      </c>
      <c r="P353" s="14">
        <f>INDEX(Khung_cap_do!$H$2:$H$6,H353)</f>
        <v/>
      </c>
      <c r="Q353" s="3" t="inlineStr">
        <is>
          <t>V1.AM.03</t>
        </is>
      </c>
      <c r="R353" s="3" t="inlineStr">
        <is>
          <t>TV.GHEPVAN</t>
        </is>
      </c>
    </row>
    <row r="354">
      <c r="A354" s="3" t="inlineStr">
        <is>
          <t>tv1-kntt-t05-q2</t>
        </is>
      </c>
      <c r="B354" s="3" t="inlineStr">
        <is>
          <t>Tiếng Việt</t>
        </is>
      </c>
      <c r="C354" s="3" t="inlineStr">
        <is>
          <t>Kết nối tri thức</t>
        </is>
      </c>
      <c r="D354" s="3" t="inlineStr">
        <is>
          <t>Tuần 5 (Bài 21–25)</t>
        </is>
      </c>
      <c r="E354" s="3" t="inlineStr">
        <is>
          <t>Phần 1. Âm và chữ (tuần 1–6)</t>
        </is>
      </c>
      <c r="F354" s="3" t="inlineStr">
        <is>
          <t>Tuần 5: r, s, t, tr, th, ia, ua, ưa</t>
        </is>
      </c>
      <c r="G354" s="3" t="inlineStr">
        <is>
          <t>Chọn đáp án</t>
        </is>
      </c>
      <c r="H354" s="14" t="n">
        <v>2</v>
      </c>
      <c r="I354" s="3" t="inlineStr">
        <is>
          <t>Cơ bản</t>
        </is>
      </c>
      <c r="J354" s="3" t="inlineStr">
        <is>
          <t>Điền ia, ua hay ưa: cây m...</t>
        </is>
      </c>
      <c r="K354" s="3" t="inlineStr">
        <is>
          <t>A. ia | B. ua | C. ưa</t>
        </is>
      </c>
      <c r="L354" s="3" t="inlineStr">
        <is>
          <t>A</t>
        </is>
      </c>
      <c r="M354" s="3" t="inlineStr">
        <is>
          <t>cây mía.</t>
        </is>
      </c>
      <c r="N354" s="3" t="n"/>
      <c r="O354" s="14" t="n">
        <v>40</v>
      </c>
      <c r="P354" s="14">
        <f>INDEX(Khung_cap_do!$H$2:$H$6,H354)</f>
        <v/>
      </c>
      <c r="Q354" s="3" t="inlineStr">
        <is>
          <t>V1.AM.03</t>
        </is>
      </c>
      <c r="R354" s="3" t="inlineStr">
        <is>
          <t>TV.GHEPVAN</t>
        </is>
      </c>
    </row>
    <row r="355">
      <c r="A355" s="3" t="inlineStr">
        <is>
          <t>tv1-kntt-t05-q3</t>
        </is>
      </c>
      <c r="B355" s="3" t="inlineStr">
        <is>
          <t>Tiếng Việt</t>
        </is>
      </c>
      <c r="C355" s="3" t="inlineStr">
        <is>
          <t>Kết nối tri thức</t>
        </is>
      </c>
      <c r="D355" s="3" t="inlineStr">
        <is>
          <t>Tuần 5 (Bài 21–25)</t>
        </is>
      </c>
      <c r="E355" s="3" t="inlineStr">
        <is>
          <t>Phần 1. Âm và chữ (tuần 1–6)</t>
        </is>
      </c>
      <c r="F355" s="3" t="inlineStr">
        <is>
          <t>Tuần 5: r, s, t, tr, th, ia, ua, ưa</t>
        </is>
      </c>
      <c r="G355" s="3" t="inlineStr">
        <is>
          <t>Chọn nhiều đáp án</t>
        </is>
      </c>
      <c r="H355" s="14" t="n">
        <v>2</v>
      </c>
      <c r="I355" s="3" t="inlineStr">
        <is>
          <t>Cơ bản</t>
        </is>
      </c>
      <c r="J355" s="3" t="inlineStr">
        <is>
          <t>Chọn TẤT CẢ các tiếng có vần ưa</t>
        </is>
      </c>
      <c r="K355" s="3" t="inlineStr">
        <is>
          <t>A. mưa | B. mua | C. dưa | D. cửa | E. cua</t>
        </is>
      </c>
      <c r="L355" s="3" t="inlineStr">
        <is>
          <t>A, C, D</t>
        </is>
      </c>
      <c r="M355" s="3" t="inlineStr">
        <is>
          <t>'mưa', 'dưa', 'cửa' có ưa; 'mua', 'cua' có ua.</t>
        </is>
      </c>
      <c r="N355" s="3" t="n"/>
      <c r="O355" s="14" t="n">
        <v>50</v>
      </c>
      <c r="P355" s="14">
        <f>INDEX(Khung_cap_do!$H$2:$H$6,H355)</f>
        <v/>
      </c>
      <c r="Q355" s="3" t="inlineStr">
        <is>
          <t>V1.AM.03</t>
        </is>
      </c>
      <c r="R355" s="3" t="inlineStr">
        <is>
          <t>TV.GHEPVAN</t>
        </is>
      </c>
    </row>
    <row r="356">
      <c r="A356" s="3" t="inlineStr">
        <is>
          <t>tv1-kntt-t05-q4</t>
        </is>
      </c>
      <c r="B356" s="3" t="inlineStr">
        <is>
          <t>Tiếng Việt</t>
        </is>
      </c>
      <c r="C356" s="3" t="inlineStr">
        <is>
          <t>Kết nối tri thức</t>
        </is>
      </c>
      <c r="D356" s="3" t="inlineStr">
        <is>
          <t>Tuần 5 (Bài 21–25)</t>
        </is>
      </c>
      <c r="E356" s="3" t="inlineStr">
        <is>
          <t>Phần 1. Âm và chữ (tuần 1–6)</t>
        </is>
      </c>
      <c r="F356" s="3" t="inlineStr">
        <is>
          <t>Tuần 5: r, s, t, tr, th, ia, ua, ưa</t>
        </is>
      </c>
      <c r="G356" s="3" t="inlineStr">
        <is>
          <t>Ghép cặp</t>
        </is>
      </c>
      <c r="H356" s="14" t="n">
        <v>2</v>
      </c>
      <c r="I356" s="3" t="inlineStr">
        <is>
          <t>Cơ bản</t>
        </is>
      </c>
      <c r="J356" s="3" t="inlineStr">
        <is>
          <t>Ghép tiếng với hình đúng</t>
        </is>
      </c>
      <c r="K356" s="3" t="inlineStr">
        <is>
          <t>thỏ ↔ ? / rùa ↔ ? / cua ↔ ?</t>
        </is>
      </c>
      <c r="L356" s="3" t="inlineStr">
        <is>
          <t>thỏ – 🐇; rùa – 🐢; cua – 🦀</t>
        </is>
      </c>
      <c r="M356" s="3" t="inlineStr">
        <is>
          <t>thỏ, rùa, cua.</t>
        </is>
      </c>
      <c r="N356" s="3" t="n"/>
      <c r="O356" s="14" t="n">
        <v>55</v>
      </c>
      <c r="P356" s="14">
        <f>INDEX(Khung_cap_do!$H$2:$H$6,H356)</f>
        <v/>
      </c>
      <c r="Q356" s="3" t="inlineStr">
        <is>
          <t>V1.DOC.05</t>
        </is>
      </c>
      <c r="R356" s="3" t="inlineStr">
        <is>
          <t>TV.NOITU</t>
        </is>
      </c>
    </row>
    <row r="357">
      <c r="A357" s="3" t="inlineStr">
        <is>
          <t>tv1-kntt-t05-q5</t>
        </is>
      </c>
      <c r="B357" s="3" t="inlineStr">
        <is>
          <t>Tiếng Việt</t>
        </is>
      </c>
      <c r="C357" s="3" t="inlineStr">
        <is>
          <t>Kết nối tri thức</t>
        </is>
      </c>
      <c r="D357" s="3" t="inlineStr">
        <is>
          <t>Tuần 5 (Bài 21–25)</t>
        </is>
      </c>
      <c r="E357" s="3" t="inlineStr">
        <is>
          <t>Phần 1. Âm và chữ (tuần 1–6)</t>
        </is>
      </c>
      <c r="F357" s="3" t="inlineStr">
        <is>
          <t>Tuần 5: r, s, t, tr, th, ia, ua, ưa</t>
        </is>
      </c>
      <c r="G357" s="3" t="inlineStr">
        <is>
          <t>Chọn đáp án</t>
        </is>
      </c>
      <c r="H357" s="14" t="n">
        <v>1</v>
      </c>
      <c r="I357" s="3" t="inlineStr">
        <is>
          <t>Làm quen</t>
        </is>
      </c>
      <c r="J357" s="3" t="inlineStr">
        <is>
          <t>Tiếng nào bắt đầu bằng tr?</t>
        </is>
      </c>
      <c r="K357" s="3" t="inlineStr">
        <is>
          <t>A. tre | B. te | C. che</t>
        </is>
      </c>
      <c r="L357" s="3" t="inlineStr">
        <is>
          <t>A</t>
        </is>
      </c>
      <c r="M357" s="3" t="inlineStr">
        <is>
          <t>'tre' bắt đầu bằng tr.</t>
        </is>
      </c>
      <c r="N357" s="3" t="n"/>
      <c r="O357" s="14" t="n">
        <v>30</v>
      </c>
      <c r="P357" s="14">
        <f>INDEX(Khung_cap_do!$H$2:$H$6,H357)</f>
        <v/>
      </c>
      <c r="Q357" s="3" t="inlineStr">
        <is>
          <t>V1.AM.01</t>
        </is>
      </c>
      <c r="R357" s="3" t="inlineStr">
        <is>
          <t>TV.AMCHU</t>
        </is>
      </c>
    </row>
    <row r="358">
      <c r="A358" s="3" t="inlineStr">
        <is>
          <t>tv1-kntt-t05-q6</t>
        </is>
      </c>
      <c r="B358" s="3" t="inlineStr">
        <is>
          <t>Tiếng Việt</t>
        </is>
      </c>
      <c r="C358" s="3" t="inlineStr">
        <is>
          <t>Kết nối tri thức</t>
        </is>
      </c>
      <c r="D358" s="3" t="inlineStr">
        <is>
          <t>Tuần 5 (Bài 21–25)</t>
        </is>
      </c>
      <c r="E358" s="3" t="inlineStr">
        <is>
          <t>Phần 1. Âm và chữ (tuần 1–6)</t>
        </is>
      </c>
      <c r="F358" s="3" t="inlineStr">
        <is>
          <t>Tuần 5: r, s, t, tr, th, ia, ua, ưa</t>
        </is>
      </c>
      <c r="G358" s="3" t="inlineStr">
        <is>
          <t>Điền đáp án</t>
        </is>
      </c>
      <c r="H358" s="14" t="n">
        <v>2</v>
      </c>
      <c r="I358" s="3" t="inlineStr">
        <is>
          <t>Cơ bản</t>
        </is>
      </c>
      <c r="J358" s="3" t="inlineStr">
        <is>
          <t>Ghép âm s với vần ưa và dấu ngã. Được tiếng gì?</t>
        </is>
      </c>
      <c r="K358" s="3" t="inlineStr"/>
      <c r="L358" s="3" t="inlineStr">
        <is>
          <t>sữa</t>
        </is>
      </c>
      <c r="M358" s="3" t="inlineStr">
        <is>
          <t>s – ưa – sưa – ngã – sữa.</t>
        </is>
      </c>
      <c r="N358" s="3" t="n"/>
      <c r="O358" s="14" t="n">
        <v>50</v>
      </c>
      <c r="P358" s="14">
        <f>INDEX(Khung_cap_do!$H$2:$H$6,H358)</f>
        <v/>
      </c>
      <c r="Q358" s="3" t="inlineStr">
        <is>
          <t>V1.DOC.01</t>
        </is>
      </c>
      <c r="R358" s="3" t="inlineStr">
        <is>
          <t>TV.GHEPVAN</t>
        </is>
      </c>
    </row>
    <row r="359">
      <c r="A359" s="3" t="inlineStr">
        <is>
          <t>tv1-kntt-t05-q7</t>
        </is>
      </c>
      <c r="B359" s="3" t="inlineStr">
        <is>
          <t>Tiếng Việt</t>
        </is>
      </c>
      <c r="C359" s="3" t="inlineStr">
        <is>
          <t>Kết nối tri thức</t>
        </is>
      </c>
      <c r="D359" s="3" t="inlineStr">
        <is>
          <t>Tuần 5 (Bài 21–25)</t>
        </is>
      </c>
      <c r="E359" s="3" t="inlineStr">
        <is>
          <t>Phần 1. Âm và chữ (tuần 1–6)</t>
        </is>
      </c>
      <c r="F359" s="3" t="inlineStr">
        <is>
          <t>Tuần 5: r, s, t, tr, th, ia, ua, ưa</t>
        </is>
      </c>
      <c r="G359" s="3" t="inlineStr">
        <is>
          <t>Sắp xếp</t>
        </is>
      </c>
      <c r="H359" s="14" t="n">
        <v>2</v>
      </c>
      <c r="I359" s="3" t="inlineStr">
        <is>
          <t>Cơ bản</t>
        </is>
      </c>
      <c r="J359" s="3" t="inlineStr">
        <is>
          <t>Sắp xếp các tiếng thành câu</t>
        </is>
      </c>
      <c r="K359" s="3" t="inlineStr">
        <is>
          <t>Bé / cá / rô / thả</t>
        </is>
      </c>
      <c r="L359" s="3" t="inlineStr">
        <is>
          <t>Bé → thả → cá → rô</t>
        </is>
      </c>
      <c r="M359" s="3" t="inlineStr">
        <is>
          <t>Câu đúng: Bé thả cá rô.</t>
        </is>
      </c>
      <c r="N359" s="3" t="n"/>
      <c r="O359" s="14" t="n">
        <v>55</v>
      </c>
      <c r="P359" s="14">
        <f>INDEX(Khung_cap_do!$H$2:$H$6,H359)</f>
        <v/>
      </c>
      <c r="Q359" s="3" t="inlineStr">
        <is>
          <t>V1.DOC.01</t>
        </is>
      </c>
      <c r="R359" s="3" t="inlineStr">
        <is>
          <t>TV.XEPCAU</t>
        </is>
      </c>
    </row>
    <row r="360">
      <c r="A360" s="3" t="inlineStr">
        <is>
          <t>tv1-kntt-t05-q8</t>
        </is>
      </c>
      <c r="B360" s="3" t="inlineStr">
        <is>
          <t>Tiếng Việt</t>
        </is>
      </c>
      <c r="C360" s="3" t="inlineStr">
        <is>
          <t>Kết nối tri thức</t>
        </is>
      </c>
      <c r="D360" s="3" t="inlineStr">
        <is>
          <t>Tuần 5 (Bài 21–25)</t>
        </is>
      </c>
      <c r="E360" s="3" t="inlineStr">
        <is>
          <t>Phần 1. Âm và chữ (tuần 1–6)</t>
        </is>
      </c>
      <c r="F360" s="3" t="inlineStr">
        <is>
          <t>Tuần 5: r, s, t, tr, th, ia, ua, ưa</t>
        </is>
      </c>
      <c r="G360" s="3" t="inlineStr">
        <is>
          <t>Chọn đáp án</t>
        </is>
      </c>
      <c r="H360" s="14" t="n">
        <v>3</v>
      </c>
      <c r="I360" s="3" t="inlineStr">
        <is>
          <t>Vận dụng</t>
        </is>
      </c>
      <c r="J360" s="3" t="inlineStr">
        <is>
          <t>Đọc câu: 'Mẹ mua cá, bé mua dưa.' Bé mua gì?</t>
        </is>
      </c>
      <c r="K360" s="3" t="inlineStr">
        <is>
          <t>A. dưa | B. cá | C. mía</t>
        </is>
      </c>
      <c r="L360" s="3" t="inlineStr">
        <is>
          <t>A</t>
        </is>
      </c>
      <c r="M360" s="3" t="inlineStr">
        <is>
          <t>Mẹ mua cá, còn bé mua dưa.</t>
        </is>
      </c>
      <c r="N360" s="3" t="inlineStr">
        <is>
          <t>Câu có hai phần, ngăn bằng dấu phẩy. Phần sau nói về bé: "bé mua dưa". Vậy bé mua dưa.</t>
        </is>
      </c>
      <c r="O360" s="14" t="n">
        <v>50</v>
      </c>
      <c r="P360" s="14">
        <f>INDEX(Khung_cap_do!$H$2:$H$6,H360)</f>
        <v/>
      </c>
      <c r="Q360" s="3" t="inlineStr">
        <is>
          <t>V1.DOC.04</t>
        </is>
      </c>
      <c r="R360" s="3" t="inlineStr">
        <is>
          <t>TV.DOCHIEU</t>
        </is>
      </c>
    </row>
    <row r="361">
      <c r="A361" s="3" t="inlineStr">
        <is>
          <t>tv1-kntt-t05-q9</t>
        </is>
      </c>
      <c r="B361" s="3" t="inlineStr">
        <is>
          <t>Tiếng Việt</t>
        </is>
      </c>
      <c r="C361" s="3" t="inlineStr">
        <is>
          <t>Kết nối tri thức</t>
        </is>
      </c>
      <c r="D361" s="3" t="inlineStr">
        <is>
          <t>Tuần 5 (Bài 21–25)</t>
        </is>
      </c>
      <c r="E361" s="3" t="inlineStr">
        <is>
          <t>Phần 1. Âm và chữ (tuần 1–6)</t>
        </is>
      </c>
      <c r="F361" s="3" t="inlineStr">
        <is>
          <t>Tuần 5: r, s, t, tr, th, ia, ua, ưa</t>
        </is>
      </c>
      <c r="G361" s="3" t="inlineStr">
        <is>
          <t>Đúng / Sai</t>
        </is>
      </c>
      <c r="H361" s="14" t="n">
        <v>1</v>
      </c>
      <c r="I361" s="3" t="inlineStr">
        <is>
          <t>Làm quen</t>
        </is>
      </c>
      <c r="J361" s="3" t="inlineStr">
        <is>
          <t>Tiếng 'thỏ' bắt đầu bằng âm th. Đúng hay sai?</t>
        </is>
      </c>
      <c r="K361" s="3" t="inlineStr">
        <is>
          <t>A. Đúng | B. Sai</t>
        </is>
      </c>
      <c r="L361" s="3" t="inlineStr">
        <is>
          <t>A</t>
        </is>
      </c>
      <c r="M361" s="3" t="inlineStr">
        <is>
          <t>'thỏ' = th + o + dấu hỏi.</t>
        </is>
      </c>
      <c r="N361" s="3" t="n"/>
      <c r="O361" s="14" t="n">
        <v>30</v>
      </c>
      <c r="P361" s="14">
        <f>INDEX(Khung_cap_do!$H$2:$H$6,H361)</f>
        <v/>
      </c>
      <c r="Q361" s="3" t="inlineStr">
        <is>
          <t>V1.AM.01</t>
        </is>
      </c>
      <c r="R361" s="3" t="inlineStr">
        <is>
          <t>TV.AMCHU</t>
        </is>
      </c>
    </row>
    <row r="362">
      <c r="A362" s="3" t="inlineStr">
        <is>
          <t>tv1-kntt-t05-q10</t>
        </is>
      </c>
      <c r="B362" s="3" t="inlineStr">
        <is>
          <t>Tiếng Việt</t>
        </is>
      </c>
      <c r="C362" s="3" t="inlineStr">
        <is>
          <t>Kết nối tri thức</t>
        </is>
      </c>
      <c r="D362" s="3" t="inlineStr">
        <is>
          <t>Tuần 5 (Bài 21–25)</t>
        </is>
      </c>
      <c r="E362" s="3" t="inlineStr">
        <is>
          <t>Phần 1. Âm và chữ (tuần 1–6)</t>
        </is>
      </c>
      <c r="F362" s="3" t="inlineStr">
        <is>
          <t>Tuần 5: r, s, t, tr, th, ia, ua, ưa</t>
        </is>
      </c>
      <c r="G362" s="3" t="inlineStr">
        <is>
          <t>Chọn đáp án</t>
        </is>
      </c>
      <c r="H362" s="14" t="n">
        <v>3</v>
      </c>
      <c r="I362" s="3" t="inlineStr">
        <is>
          <t>Vận dụng</t>
        </is>
      </c>
      <c r="J362" s="3" t="inlineStr">
        <is>
          <t>Con gì có mai cứng, bò rất chậm?</t>
        </is>
      </c>
      <c r="K362" s="3" t="inlineStr">
        <is>
          <t>A. rùa | B. thỏ | C. sẻ</t>
        </is>
      </c>
      <c r="L362" s="3" t="inlineStr">
        <is>
          <t>A</t>
        </is>
      </c>
      <c r="M362" s="3" t="inlineStr">
        <is>
          <t>Con rùa có mai cứng và bò chậm.</t>
        </is>
      </c>
      <c r="N362" s="3" t="inlineStr">
        <is>
          <t>Rùa có cái mai cứng trên lưng và bò rất chậm. Thỏ chạy nhanh, sẻ là con chim. Chọn 'rùa'.</t>
        </is>
      </c>
      <c r="O362" s="14" t="n">
        <v>50</v>
      </c>
      <c r="P362" s="14">
        <f>INDEX(Khung_cap_do!$H$2:$H$6,H362)</f>
        <v/>
      </c>
      <c r="Q362" s="3" t="inlineStr">
        <is>
          <t>V1.VIET.04</t>
        </is>
      </c>
      <c r="R362" s="3" t="inlineStr">
        <is>
          <t>TV.NOITU</t>
        </is>
      </c>
    </row>
    <row r="363">
      <c r="A363" s="3" t="inlineStr">
        <is>
          <t>tv1-kntt-t06-q1</t>
        </is>
      </c>
      <c r="B363" s="3" t="inlineStr">
        <is>
          <t>Tiếng Việt</t>
        </is>
      </c>
      <c r="C363" s="3" t="inlineStr">
        <is>
          <t>Kết nối tri thức</t>
        </is>
      </c>
      <c r="D363" s="3" t="inlineStr">
        <is>
          <t>Tuần 6 (Bài 26–30)</t>
        </is>
      </c>
      <c r="E363" s="3" t="inlineStr">
        <is>
          <t>Phần 1. Âm và chữ (tuần 1–6)</t>
        </is>
      </c>
      <c r="F363" s="3" t="inlineStr">
        <is>
          <t>Tuần 6: ph, qu, v, x, y</t>
        </is>
      </c>
      <c r="G363" s="3" t="inlineStr">
        <is>
          <t>Chọn đáp án</t>
        </is>
      </c>
      <c r="H363" s="14" t="n">
        <v>1</v>
      </c>
      <c r="I363" s="3" t="inlineStr">
        <is>
          <t>Làm quen</t>
        </is>
      </c>
      <c r="J363" s="3" t="inlineStr">
        <is>
          <t>Tiếng 'phố' bắt đầu bằng âm nào?</t>
        </is>
      </c>
      <c r="K363" s="3" t="inlineStr">
        <is>
          <t>A. ph | B. qu | C. v</t>
        </is>
      </c>
      <c r="L363" s="3" t="inlineStr">
        <is>
          <t>A</t>
        </is>
      </c>
      <c r="M363" s="3" t="inlineStr">
        <is>
          <t>'phố' bắt đầu bằng ph.</t>
        </is>
      </c>
      <c r="N363" s="3" t="n"/>
      <c r="O363" s="14" t="n">
        <v>30</v>
      </c>
      <c r="P363" s="14">
        <f>INDEX(Khung_cap_do!$H$2:$H$6,H363)</f>
        <v/>
      </c>
      <c r="Q363" s="3" t="inlineStr">
        <is>
          <t>V1.AM.01</t>
        </is>
      </c>
      <c r="R363" s="3" t="inlineStr">
        <is>
          <t>TV.AMCHU</t>
        </is>
      </c>
    </row>
    <row r="364">
      <c r="A364" s="3" t="inlineStr">
        <is>
          <t>tv1-kntt-t06-q2</t>
        </is>
      </c>
      <c r="B364" s="3" t="inlineStr">
        <is>
          <t>Tiếng Việt</t>
        </is>
      </c>
      <c r="C364" s="3" t="inlineStr">
        <is>
          <t>Kết nối tri thức</t>
        </is>
      </c>
      <c r="D364" s="3" t="inlineStr">
        <is>
          <t>Tuần 6 (Bài 26–30)</t>
        </is>
      </c>
      <c r="E364" s="3" t="inlineStr">
        <is>
          <t>Phần 1. Âm và chữ (tuần 1–6)</t>
        </is>
      </c>
      <c r="F364" s="3" t="inlineStr">
        <is>
          <t>Tuần 6: ph, qu, v, x, y</t>
        </is>
      </c>
      <c r="G364" s="3" t="inlineStr">
        <is>
          <t>Chọn đáp án</t>
        </is>
      </c>
      <c r="H364" s="14" t="n">
        <v>1</v>
      </c>
      <c r="I364" s="3" t="inlineStr">
        <is>
          <t>Làm quen</t>
        </is>
      </c>
      <c r="J364" s="3" t="inlineStr">
        <is>
          <t>Điền chữ còn thiếu: ...ả na</t>
        </is>
      </c>
      <c r="K364" s="3" t="inlineStr">
        <is>
          <t>A. qu | B. ph | C. x</t>
        </is>
      </c>
      <c r="L364" s="3" t="inlineStr">
        <is>
          <t>A</t>
        </is>
      </c>
      <c r="M364" s="3" t="inlineStr">
        <is>
          <t>quả na — âm qu luôn viết q và u đi liền.</t>
        </is>
      </c>
      <c r="N364" s="3" t="n"/>
      <c r="O364" s="14" t="n">
        <v>30</v>
      </c>
      <c r="P364" s="14">
        <f>INDEX(Khung_cap_do!$H$2:$H$6,H364)</f>
        <v/>
      </c>
      <c r="Q364" s="3" t="inlineStr">
        <is>
          <t>V1.AM.01</t>
        </is>
      </c>
      <c r="R364" s="3" t="inlineStr">
        <is>
          <t>TV.AMCHU</t>
        </is>
      </c>
    </row>
    <row r="365">
      <c r="A365" s="3" t="inlineStr">
        <is>
          <t>tv1-kntt-t06-q3</t>
        </is>
      </c>
      <c r="B365" s="3" t="inlineStr">
        <is>
          <t>Tiếng Việt</t>
        </is>
      </c>
      <c r="C365" s="3" t="inlineStr">
        <is>
          <t>Kết nối tri thức</t>
        </is>
      </c>
      <c r="D365" s="3" t="inlineStr">
        <is>
          <t>Tuần 6 (Bài 26–30)</t>
        </is>
      </c>
      <c r="E365" s="3" t="inlineStr">
        <is>
          <t>Phần 1. Âm và chữ (tuần 1–6)</t>
        </is>
      </c>
      <c r="F365" s="3" t="inlineStr">
        <is>
          <t>Tuần 6: ph, qu, v, x, y</t>
        </is>
      </c>
      <c r="G365" s="3" t="inlineStr">
        <is>
          <t>Ghép cặp</t>
        </is>
      </c>
      <c r="H365" s="14" t="n">
        <v>2</v>
      </c>
      <c r="I365" s="3" t="inlineStr">
        <is>
          <t>Cơ bản</t>
        </is>
      </c>
      <c r="J365" s="3" t="inlineStr">
        <is>
          <t>Ghép tiếng với hình đúng</t>
        </is>
      </c>
      <c r="K365" s="3" t="inlineStr">
        <is>
          <t>xe ↔ ? / vở ↔ ? / y tá ↔ ?</t>
        </is>
      </c>
      <c r="L365" s="3" t="inlineStr">
        <is>
          <t>xe – 🚲; vở – 📒; y tá – 👩‍⚕️</t>
        </is>
      </c>
      <c r="M365" s="3" t="inlineStr">
        <is>
          <t>xe, vở, y tá.</t>
        </is>
      </c>
      <c r="N365" s="3" t="n"/>
      <c r="O365" s="14" t="n">
        <v>55</v>
      </c>
      <c r="P365" s="14">
        <f>INDEX(Khung_cap_do!$H$2:$H$6,H365)</f>
        <v/>
      </c>
      <c r="Q365" s="3" t="inlineStr">
        <is>
          <t>V1.DOC.05</t>
        </is>
      </c>
      <c r="R365" s="3" t="inlineStr">
        <is>
          <t>TV.NOITU</t>
        </is>
      </c>
    </row>
    <row r="366">
      <c r="A366" s="3" t="inlineStr">
        <is>
          <t>tv1-kntt-t06-q4</t>
        </is>
      </c>
      <c r="B366" s="3" t="inlineStr">
        <is>
          <t>Tiếng Việt</t>
        </is>
      </c>
      <c r="C366" s="3" t="inlineStr">
        <is>
          <t>Kết nối tri thức</t>
        </is>
      </c>
      <c r="D366" s="3" t="inlineStr">
        <is>
          <t>Tuần 6 (Bài 26–30)</t>
        </is>
      </c>
      <c r="E366" s="3" t="inlineStr">
        <is>
          <t>Phần 1. Âm và chữ (tuần 1–6)</t>
        </is>
      </c>
      <c r="F366" s="3" t="inlineStr">
        <is>
          <t>Tuần 6: ph, qu, v, x, y</t>
        </is>
      </c>
      <c r="G366" s="3" t="inlineStr">
        <is>
          <t>Chọn nhiều đáp án</t>
        </is>
      </c>
      <c r="H366" s="14" t="n">
        <v>3</v>
      </c>
      <c r="I366" s="3" t="inlineStr">
        <is>
          <t>Vận dụng</t>
        </is>
      </c>
      <c r="J366" s="3" t="inlineStr">
        <is>
          <t>Chọn TẤT CẢ các tiếng viết ĐÚNG chính tả</t>
        </is>
      </c>
      <c r="K366" s="3" t="inlineStr">
        <is>
          <t>A. kẻ | B. cẻ | C. ghe | D. ge | E. ngô</t>
        </is>
      </c>
      <c r="L366" s="3" t="inlineStr">
        <is>
          <t>A, C, E</t>
        </is>
      </c>
      <c r="M366" s="3" t="inlineStr">
        <is>
          <t>Trước e viết k, gh: kẻ, ghe. Trước ô viết ng: ngô.</t>
        </is>
      </c>
      <c r="N366" s="3" t="inlineStr">
        <is>
          <t>Trước e viết k và gh: 'kẻ', 'ghe' đúng; 'cẻ', 'ge' sai. Trước ô viết ng: 'ngô' đúng.</t>
        </is>
      </c>
      <c r="O366" s="14" t="n">
        <v>60</v>
      </c>
      <c r="P366" s="14">
        <f>INDEX(Khung_cap_do!$H$2:$H$6,H366)</f>
        <v/>
      </c>
      <c r="Q366" s="3" t="inlineStr">
        <is>
          <t>V1.AM.04</t>
        </is>
      </c>
      <c r="R366" s="3" t="inlineStr">
        <is>
          <t>TV.CHINHTA</t>
        </is>
      </c>
    </row>
    <row r="367">
      <c r="A367" s="3" t="inlineStr">
        <is>
          <t>tv1-kntt-t06-q5</t>
        </is>
      </c>
      <c r="B367" s="3" t="inlineStr">
        <is>
          <t>Tiếng Việt</t>
        </is>
      </c>
      <c r="C367" s="3" t="inlineStr">
        <is>
          <t>Kết nối tri thức</t>
        </is>
      </c>
      <c r="D367" s="3" t="inlineStr">
        <is>
          <t>Tuần 6 (Bài 26–30)</t>
        </is>
      </c>
      <c r="E367" s="3" t="inlineStr">
        <is>
          <t>Phần 1. Âm và chữ (tuần 1–6)</t>
        </is>
      </c>
      <c r="F367" s="3" t="inlineStr">
        <is>
          <t>Tuần 6: ph, qu, v, x, y</t>
        </is>
      </c>
      <c r="G367" s="3" t="inlineStr">
        <is>
          <t>Điền đáp án</t>
        </is>
      </c>
      <c r="H367" s="14" t="n">
        <v>2</v>
      </c>
      <c r="I367" s="3" t="inlineStr">
        <is>
          <t>Cơ bản</t>
        </is>
      </c>
      <c r="J367" s="3" t="inlineStr">
        <is>
          <t>Điền c hoặc k: con ...á</t>
        </is>
      </c>
      <c r="K367" s="3" t="inlineStr"/>
      <c r="L367" s="3" t="inlineStr">
        <is>
          <t>c / cá</t>
        </is>
      </c>
      <c r="M367" s="3" t="inlineStr">
        <is>
          <t>Trước a viết c: con cá.</t>
        </is>
      </c>
      <c r="N367" s="3" t="n"/>
      <c r="O367" s="14" t="n">
        <v>50</v>
      </c>
      <c r="P367" s="14">
        <f>INDEX(Khung_cap_do!$H$2:$H$6,H367)</f>
        <v/>
      </c>
      <c r="Q367" s="3" t="inlineStr">
        <is>
          <t>V1.AM.04</t>
        </is>
      </c>
      <c r="R367" s="3" t="inlineStr">
        <is>
          <t>TV.CHINHTA</t>
        </is>
      </c>
    </row>
    <row r="368">
      <c r="A368" s="3" t="inlineStr">
        <is>
          <t>tv1-kntt-t06-q6</t>
        </is>
      </c>
      <c r="B368" s="3" t="inlineStr">
        <is>
          <t>Tiếng Việt</t>
        </is>
      </c>
      <c r="C368" s="3" t="inlineStr">
        <is>
          <t>Kết nối tri thức</t>
        </is>
      </c>
      <c r="D368" s="3" t="inlineStr">
        <is>
          <t>Tuần 6 (Bài 26–30)</t>
        </is>
      </c>
      <c r="E368" s="3" t="inlineStr">
        <is>
          <t>Phần 1. Âm và chữ (tuần 1–6)</t>
        </is>
      </c>
      <c r="F368" s="3" t="inlineStr">
        <is>
          <t>Tuần 6: ph, qu, v, x, y</t>
        </is>
      </c>
      <c r="G368" s="3" t="inlineStr">
        <is>
          <t>Chọn đáp án</t>
        </is>
      </c>
      <c r="H368" s="14" t="n">
        <v>2</v>
      </c>
      <c r="I368" s="3" t="inlineStr">
        <is>
          <t>Cơ bản</t>
        </is>
      </c>
      <c r="J368" s="3" t="inlineStr">
        <is>
          <t>Điền g hay gh: ...i nhớ</t>
        </is>
      </c>
      <c r="K368" s="3" t="inlineStr">
        <is>
          <t>A. g | B. gh</t>
        </is>
      </c>
      <c r="L368" s="3" t="inlineStr">
        <is>
          <t>B</t>
        </is>
      </c>
      <c r="M368" s="3" t="inlineStr">
        <is>
          <t>Trước i viết gh: ghi nhớ.</t>
        </is>
      </c>
      <c r="N368" s="3" t="n"/>
      <c r="O368" s="14" t="n">
        <v>40</v>
      </c>
      <c r="P368" s="14">
        <f>INDEX(Khung_cap_do!$H$2:$H$6,H368)</f>
        <v/>
      </c>
      <c r="Q368" s="3" t="inlineStr">
        <is>
          <t>V1.AM.04</t>
        </is>
      </c>
      <c r="R368" s="3" t="inlineStr">
        <is>
          <t>TV.CHINHTA</t>
        </is>
      </c>
    </row>
    <row r="369">
      <c r="A369" s="3" t="inlineStr">
        <is>
          <t>tv1-kntt-t06-q7</t>
        </is>
      </c>
      <c r="B369" s="3" t="inlineStr">
        <is>
          <t>Tiếng Việt</t>
        </is>
      </c>
      <c r="C369" s="3" t="inlineStr">
        <is>
          <t>Kết nối tri thức</t>
        </is>
      </c>
      <c r="D369" s="3" t="inlineStr">
        <is>
          <t>Tuần 6 (Bài 26–30)</t>
        </is>
      </c>
      <c r="E369" s="3" t="inlineStr">
        <is>
          <t>Phần 1. Âm và chữ (tuần 1–6)</t>
        </is>
      </c>
      <c r="F369" s="3" t="inlineStr">
        <is>
          <t>Tuần 6: ph, qu, v, x, y</t>
        </is>
      </c>
      <c r="G369" s="3" t="inlineStr">
        <is>
          <t>Sắp xếp</t>
        </is>
      </c>
      <c r="H369" s="14" t="n">
        <v>2</v>
      </c>
      <c r="I369" s="3" t="inlineStr">
        <is>
          <t>Cơ bản</t>
        </is>
      </c>
      <c r="J369" s="3" t="inlineStr">
        <is>
          <t>Sắp xếp các tiếng thành câu</t>
        </is>
      </c>
      <c r="K369" s="3" t="inlineStr">
        <is>
          <t>Bé / vẽ / xe / đỏ</t>
        </is>
      </c>
      <c r="L369" s="3" t="inlineStr">
        <is>
          <t>Bé → vẽ → xe → đỏ</t>
        </is>
      </c>
      <c r="M369" s="3" t="inlineStr">
        <is>
          <t>Câu đúng: Bé vẽ xe đỏ.</t>
        </is>
      </c>
      <c r="N369" s="3" t="n"/>
      <c r="O369" s="14" t="n">
        <v>55</v>
      </c>
      <c r="P369" s="14">
        <f>INDEX(Khung_cap_do!$H$2:$H$6,H369)</f>
        <v/>
      </c>
      <c r="Q369" s="3" t="inlineStr">
        <is>
          <t>V1.DOC.01</t>
        </is>
      </c>
      <c r="R369" s="3" t="inlineStr">
        <is>
          <t>TV.XEPCAU</t>
        </is>
      </c>
    </row>
    <row r="370">
      <c r="A370" s="3" t="inlineStr">
        <is>
          <t>tv1-kntt-t06-q8</t>
        </is>
      </c>
      <c r="B370" s="3" t="inlineStr">
        <is>
          <t>Tiếng Việt</t>
        </is>
      </c>
      <c r="C370" s="3" t="inlineStr">
        <is>
          <t>Kết nối tri thức</t>
        </is>
      </c>
      <c r="D370" s="3" t="inlineStr">
        <is>
          <t>Tuần 6 (Bài 26–30)</t>
        </is>
      </c>
      <c r="E370" s="3" t="inlineStr">
        <is>
          <t>Phần 1. Âm và chữ (tuần 1–6)</t>
        </is>
      </c>
      <c r="F370" s="3" t="inlineStr">
        <is>
          <t>Tuần 6: ph, qu, v, x, y</t>
        </is>
      </c>
      <c r="G370" s="3" t="inlineStr">
        <is>
          <t>Chọn đáp án</t>
        </is>
      </c>
      <c r="H370" s="14" t="n">
        <v>3</v>
      </c>
      <c r="I370" s="3" t="inlineStr">
        <is>
          <t>Vận dụng</t>
        </is>
      </c>
      <c r="J370" s="3" t="inlineStr">
        <is>
          <t>Đọc câu: 'Bố đưa bé về quê.' Bố đưa bé đi đâu?</t>
        </is>
      </c>
      <c r="K370" s="3" t="inlineStr">
        <is>
          <t>A. về quê | B. ra phố | C. đi chợ</t>
        </is>
      </c>
      <c r="L370" s="3" t="inlineStr">
        <is>
          <t>A</t>
        </is>
      </c>
      <c r="M370" s="3" t="inlineStr">
        <is>
          <t>Bố đưa bé về quê.</t>
        </is>
      </c>
      <c r="N370" s="3" t="inlineStr">
        <is>
          <t>Đọc chậm: Bố – đưa – bé – về – quê. Hai tiếng 'về quê' cho biết bố đưa bé đi đâu.</t>
        </is>
      </c>
      <c r="O370" s="14" t="n">
        <v>50</v>
      </c>
      <c r="P370" s="14">
        <f>INDEX(Khung_cap_do!$H$2:$H$6,H370)</f>
        <v/>
      </c>
      <c r="Q370" s="3" t="inlineStr">
        <is>
          <t>V1.DOC.04</t>
        </is>
      </c>
      <c r="R370" s="3" t="inlineStr">
        <is>
          <t>TV.DOCHIEU</t>
        </is>
      </c>
    </row>
    <row r="371">
      <c r="A371" s="3" t="inlineStr">
        <is>
          <t>tv1-kntt-t06-q9</t>
        </is>
      </c>
      <c r="B371" s="3" t="inlineStr">
        <is>
          <t>Tiếng Việt</t>
        </is>
      </c>
      <c r="C371" s="3" t="inlineStr">
        <is>
          <t>Kết nối tri thức</t>
        </is>
      </c>
      <c r="D371" s="3" t="inlineStr">
        <is>
          <t>Tuần 6 (Bài 26–30)</t>
        </is>
      </c>
      <c r="E371" s="3" t="inlineStr">
        <is>
          <t>Phần 1. Âm và chữ (tuần 1–6)</t>
        </is>
      </c>
      <c r="F371" s="3" t="inlineStr">
        <is>
          <t>Tuần 6: ph, qu, v, x, y</t>
        </is>
      </c>
      <c r="G371" s="3" t="inlineStr">
        <is>
          <t>Đúng / Sai</t>
        </is>
      </c>
      <c r="H371" s="14" t="n">
        <v>2</v>
      </c>
      <c r="I371" s="3" t="inlineStr">
        <is>
          <t>Cơ bản</t>
        </is>
      </c>
      <c r="J371" s="3" t="inlineStr">
        <is>
          <t>Viết 'ngỉ' là đúng chính tả. Đúng hay sai?</t>
        </is>
      </c>
      <c r="K371" s="3" t="inlineStr">
        <is>
          <t>A. Đúng | B. Sai</t>
        </is>
      </c>
      <c r="L371" s="3" t="inlineStr">
        <is>
          <t>B</t>
        </is>
      </c>
      <c r="M371" s="3" t="inlineStr">
        <is>
          <t>Trước i phải viết ngh: nghỉ.</t>
        </is>
      </c>
      <c r="N371" s="3" t="n"/>
      <c r="O371" s="14" t="n">
        <v>40</v>
      </c>
      <c r="P371" s="14">
        <f>INDEX(Khung_cap_do!$H$2:$H$6,H371)</f>
        <v/>
      </c>
      <c r="Q371" s="3" t="inlineStr">
        <is>
          <t>V1.AM.04</t>
        </is>
      </c>
      <c r="R371" s="3" t="inlineStr">
        <is>
          <t>TV.CHINHTA</t>
        </is>
      </c>
    </row>
    <row r="372">
      <c r="A372" s="3" t="inlineStr">
        <is>
          <t>tv1-kntt-t06-q10</t>
        </is>
      </c>
      <c r="B372" s="3" t="inlineStr">
        <is>
          <t>Tiếng Việt</t>
        </is>
      </c>
      <c r="C372" s="3" t="inlineStr">
        <is>
          <t>Kết nối tri thức</t>
        </is>
      </c>
      <c r="D372" s="3" t="inlineStr">
        <is>
          <t>Tuần 6 (Bài 26–30)</t>
        </is>
      </c>
      <c r="E372" s="3" t="inlineStr">
        <is>
          <t>Phần 1. Âm và chữ (tuần 1–6)</t>
        </is>
      </c>
      <c r="F372" s="3" t="inlineStr">
        <is>
          <t>Tuần 6: ph, qu, v, x, y</t>
        </is>
      </c>
      <c r="G372" s="3" t="inlineStr">
        <is>
          <t>Chọn đáp án</t>
        </is>
      </c>
      <c r="H372" s="14" t="n">
        <v>1</v>
      </c>
      <c r="I372" s="3" t="inlineStr">
        <is>
          <t>Làm quen</t>
        </is>
      </c>
      <c r="J372" s="3" t="inlineStr">
        <is>
          <t>Người chăm sóc người ốm ở bệnh viện là ai?</t>
        </is>
      </c>
      <c r="K372" s="3" t="inlineStr">
        <is>
          <t>A. y tá | B. xe | C. phố</t>
        </is>
      </c>
      <c r="L372" s="3" t="inlineStr">
        <is>
          <t>A</t>
        </is>
      </c>
      <c r="M372" s="3" t="inlineStr">
        <is>
          <t>Cô y tá chăm sóc người ốm.</t>
        </is>
      </c>
      <c r="N372" s="3" t="n"/>
      <c r="O372" s="14" t="n">
        <v>30</v>
      </c>
      <c r="P372" s="14">
        <f>INDEX(Khung_cap_do!$H$2:$H$6,H372)</f>
        <v/>
      </c>
      <c r="Q372" s="3" t="inlineStr">
        <is>
          <t>V1.VIET.04</t>
        </is>
      </c>
      <c r="R372" s="3" t="inlineStr">
        <is>
          <t>TV.NOITU</t>
        </is>
      </c>
    </row>
    <row r="373">
      <c r="A373" s="3" t="inlineStr">
        <is>
          <t>tv1-kntt-t07-q1</t>
        </is>
      </c>
      <c r="B373" s="3" t="inlineStr">
        <is>
          <t>Tiếng Việt</t>
        </is>
      </c>
      <c r="C373" s="3" t="inlineStr">
        <is>
          <t>Kết nối tri thức</t>
        </is>
      </c>
      <c r="D373" s="3" t="inlineStr">
        <is>
          <t>Tuần 7 (Bài 31–35)</t>
        </is>
      </c>
      <c r="E373" s="3" t="inlineStr">
        <is>
          <t>Phần 2. Vần (tuần 7–16)</t>
        </is>
      </c>
      <c r="F373" s="3" t="inlineStr">
        <is>
          <t>Tuần 7: an, ăn, ân, on, ôn, ơn, en, ên, in, un, am, ăm, âm</t>
        </is>
      </c>
      <c r="G373" s="3" t="inlineStr">
        <is>
          <t>Chọn đáp án</t>
        </is>
      </c>
      <c r="H373" s="14" t="n">
        <v>1</v>
      </c>
      <c r="I373" s="3" t="inlineStr">
        <is>
          <t>Làm quen</t>
        </is>
      </c>
      <c r="J373" s="3" t="inlineStr">
        <is>
          <t>Tiếng 'khăn' có vần gì?</t>
        </is>
      </c>
      <c r="K373" s="3" t="inlineStr">
        <is>
          <t>A. ăn | B. an | C. ân</t>
        </is>
      </c>
      <c r="L373" s="3" t="inlineStr">
        <is>
          <t>A</t>
        </is>
      </c>
      <c r="M373" s="3" t="inlineStr">
        <is>
          <t>'khăn' = kh + ăn.</t>
        </is>
      </c>
      <c r="N373" s="3" t="n"/>
      <c r="O373" s="14" t="n">
        <v>30</v>
      </c>
      <c r="P373" s="14">
        <f>INDEX(Khung_cap_do!$H$2:$H$6,H373)</f>
        <v/>
      </c>
      <c r="Q373" s="3" t="inlineStr">
        <is>
          <t>V1.AM.03</t>
        </is>
      </c>
      <c r="R373" s="3" t="inlineStr">
        <is>
          <t>TV.GHEPVAN</t>
        </is>
      </c>
    </row>
    <row r="374">
      <c r="A374" s="3" t="inlineStr">
        <is>
          <t>tv1-kntt-t07-q2</t>
        </is>
      </c>
      <c r="B374" s="3" t="inlineStr">
        <is>
          <t>Tiếng Việt</t>
        </is>
      </c>
      <c r="C374" s="3" t="inlineStr">
        <is>
          <t>Kết nối tri thức</t>
        </is>
      </c>
      <c r="D374" s="3" t="inlineStr">
        <is>
          <t>Tuần 7 (Bài 31–35)</t>
        </is>
      </c>
      <c r="E374" s="3" t="inlineStr">
        <is>
          <t>Phần 2. Vần (tuần 7–16)</t>
        </is>
      </c>
      <c r="F374" s="3" t="inlineStr">
        <is>
          <t>Tuần 7: an, ăn, ân, on, ôn, ơn, en, ên, in, un, am, ăm, âm</t>
        </is>
      </c>
      <c r="G374" s="3" t="inlineStr">
        <is>
          <t>Chọn đáp án</t>
        </is>
      </c>
      <c r="H374" s="14" t="n">
        <v>2</v>
      </c>
      <c r="I374" s="3" t="inlineStr">
        <is>
          <t>Cơ bản</t>
        </is>
      </c>
      <c r="J374" s="3" t="inlineStr">
        <is>
          <t>Điền vần: cái đ... (cái đèn)</t>
        </is>
      </c>
      <c r="K374" s="3" t="inlineStr">
        <is>
          <t>A. en | B. ên | C. in</t>
        </is>
      </c>
      <c r="L374" s="3" t="inlineStr">
        <is>
          <t>A</t>
        </is>
      </c>
      <c r="M374" s="3" t="inlineStr">
        <is>
          <t>cái đèn: vần en, dấu huyền.</t>
        </is>
      </c>
      <c r="N374" s="3" t="n"/>
      <c r="O374" s="14" t="n">
        <v>40</v>
      </c>
      <c r="P374" s="14">
        <f>INDEX(Khung_cap_do!$H$2:$H$6,H374)</f>
        <v/>
      </c>
      <c r="Q374" s="3" t="inlineStr">
        <is>
          <t>V1.AM.03</t>
        </is>
      </c>
      <c r="R374" s="3" t="inlineStr">
        <is>
          <t>TV.GHEPVAN</t>
        </is>
      </c>
    </row>
    <row r="375">
      <c r="A375" s="3" t="inlineStr">
        <is>
          <t>tv1-kntt-t07-q3</t>
        </is>
      </c>
      <c r="B375" s="3" t="inlineStr">
        <is>
          <t>Tiếng Việt</t>
        </is>
      </c>
      <c r="C375" s="3" t="inlineStr">
        <is>
          <t>Kết nối tri thức</t>
        </is>
      </c>
      <c r="D375" s="3" t="inlineStr">
        <is>
          <t>Tuần 7 (Bài 31–35)</t>
        </is>
      </c>
      <c r="E375" s="3" t="inlineStr">
        <is>
          <t>Phần 2. Vần (tuần 7–16)</t>
        </is>
      </c>
      <c r="F375" s="3" t="inlineStr">
        <is>
          <t>Tuần 7: an, ăn, ân, on, ôn, ơn, en, ên, in, un, am, ăm, âm</t>
        </is>
      </c>
      <c r="G375" s="3" t="inlineStr">
        <is>
          <t>Chọn nhiều đáp án</t>
        </is>
      </c>
      <c r="H375" s="14" t="n">
        <v>2</v>
      </c>
      <c r="I375" s="3" t="inlineStr">
        <is>
          <t>Cơ bản</t>
        </is>
      </c>
      <c r="J375" s="3" t="inlineStr">
        <is>
          <t>Chọn TẤT CẢ các tiếng có vần am</t>
        </is>
      </c>
      <c r="K375" s="3" t="inlineStr">
        <is>
          <t>A. cam | B. căm | C. nam | D. nấm | E. tám</t>
        </is>
      </c>
      <c r="L375" s="3" t="inlineStr">
        <is>
          <t>A, C, E</t>
        </is>
      </c>
      <c r="M375" s="3" t="inlineStr">
        <is>
          <t>'cam', 'nam', 'tám' có vần am; 'căm' là ăm; 'nấm' là âm.</t>
        </is>
      </c>
      <c r="N375" s="3" t="n"/>
      <c r="O375" s="14" t="n">
        <v>50</v>
      </c>
      <c r="P375" s="14">
        <f>INDEX(Khung_cap_do!$H$2:$H$6,H375)</f>
        <v/>
      </c>
      <c r="Q375" s="3" t="inlineStr">
        <is>
          <t>V1.AM.03</t>
        </is>
      </c>
      <c r="R375" s="3" t="inlineStr">
        <is>
          <t>TV.GHEPVAN</t>
        </is>
      </c>
    </row>
    <row r="376">
      <c r="A376" s="3" t="inlineStr">
        <is>
          <t>tv1-kntt-t07-q4</t>
        </is>
      </c>
      <c r="B376" s="3" t="inlineStr">
        <is>
          <t>Tiếng Việt</t>
        </is>
      </c>
      <c r="C376" s="3" t="inlineStr">
        <is>
          <t>Kết nối tri thức</t>
        </is>
      </c>
      <c r="D376" s="3" t="inlineStr">
        <is>
          <t>Tuần 7 (Bài 31–35)</t>
        </is>
      </c>
      <c r="E376" s="3" t="inlineStr">
        <is>
          <t>Phần 2. Vần (tuần 7–16)</t>
        </is>
      </c>
      <c r="F376" s="3" t="inlineStr">
        <is>
          <t>Tuần 7: an, ăn, ân, on, ôn, ơn, en, ên, in, un, am, ăm, âm</t>
        </is>
      </c>
      <c r="G376" s="3" t="inlineStr">
        <is>
          <t>Ghép cặp</t>
        </is>
      </c>
      <c r="H376" s="14" t="n">
        <v>2</v>
      </c>
      <c r="I376" s="3" t="inlineStr">
        <is>
          <t>Cơ bản</t>
        </is>
      </c>
      <c r="J376" s="3" t="inlineStr">
        <is>
          <t>Ghép từ với hình đúng</t>
        </is>
      </c>
      <c r="K376" s="3" t="inlineStr">
        <is>
          <t>đèn ↔ ? / nấm ↔ ? / nhện ↔ ?</t>
        </is>
      </c>
      <c r="L376" s="3" t="inlineStr">
        <is>
          <t>đèn – 💡; nấm – 🍄; nhện – 🕷️</t>
        </is>
      </c>
      <c r="M376" s="3" t="inlineStr">
        <is>
          <t>đèn, nấm, nhện.</t>
        </is>
      </c>
      <c r="N376" s="3" t="n"/>
      <c r="O376" s="14" t="n">
        <v>55</v>
      </c>
      <c r="P376" s="14">
        <f>INDEX(Khung_cap_do!$H$2:$H$6,H376)</f>
        <v/>
      </c>
      <c r="Q376" s="3" t="inlineStr">
        <is>
          <t>V1.DOC.05</t>
        </is>
      </c>
      <c r="R376" s="3" t="inlineStr">
        <is>
          <t>TV.NOITU</t>
        </is>
      </c>
    </row>
    <row r="377">
      <c r="A377" s="3" t="inlineStr">
        <is>
          <t>tv1-kntt-t07-q5</t>
        </is>
      </c>
      <c r="B377" s="3" t="inlineStr">
        <is>
          <t>Tiếng Việt</t>
        </is>
      </c>
      <c r="C377" s="3" t="inlineStr">
        <is>
          <t>Kết nối tri thức</t>
        </is>
      </c>
      <c r="D377" s="3" t="inlineStr">
        <is>
          <t>Tuần 7 (Bài 31–35)</t>
        </is>
      </c>
      <c r="E377" s="3" t="inlineStr">
        <is>
          <t>Phần 2. Vần (tuần 7–16)</t>
        </is>
      </c>
      <c r="F377" s="3" t="inlineStr">
        <is>
          <t>Tuần 7: an, ăn, ân, on, ôn, ơn, en, ên, in, un, am, ăm, âm</t>
        </is>
      </c>
      <c r="G377" s="3" t="inlineStr">
        <is>
          <t>Điền đáp án</t>
        </is>
      </c>
      <c r="H377" s="14" t="n">
        <v>2</v>
      </c>
      <c r="I377" s="3" t="inlineStr">
        <is>
          <t>Cơ bản</t>
        </is>
      </c>
      <c r="J377" s="3" t="inlineStr">
        <is>
          <t>Ghép âm ch với vần ăn. Được tiếng gì?</t>
        </is>
      </c>
      <c r="K377" s="3" t="inlineStr"/>
      <c r="L377" s="3" t="inlineStr">
        <is>
          <t>chăn</t>
        </is>
      </c>
      <c r="M377" s="3" t="inlineStr">
        <is>
          <t>ch – ăn – chăn.</t>
        </is>
      </c>
      <c r="N377" s="3" t="n"/>
      <c r="O377" s="14" t="n">
        <v>50</v>
      </c>
      <c r="P377" s="14">
        <f>INDEX(Khung_cap_do!$H$2:$H$6,H377)</f>
        <v/>
      </c>
      <c r="Q377" s="3" t="inlineStr">
        <is>
          <t>V1.DOC.01</t>
        </is>
      </c>
      <c r="R377" s="3" t="inlineStr">
        <is>
          <t>TV.GHEPVAN</t>
        </is>
      </c>
    </row>
    <row r="378">
      <c r="A378" s="3" t="inlineStr">
        <is>
          <t>tv1-kntt-t07-q6</t>
        </is>
      </c>
      <c r="B378" s="3" t="inlineStr">
        <is>
          <t>Tiếng Việt</t>
        </is>
      </c>
      <c r="C378" s="3" t="inlineStr">
        <is>
          <t>Kết nối tri thức</t>
        </is>
      </c>
      <c r="D378" s="3" t="inlineStr">
        <is>
          <t>Tuần 7 (Bài 31–35)</t>
        </is>
      </c>
      <c r="E378" s="3" t="inlineStr">
        <is>
          <t>Phần 2. Vần (tuần 7–16)</t>
        </is>
      </c>
      <c r="F378" s="3" t="inlineStr">
        <is>
          <t>Tuần 7: an, ăn, ân, on, ôn, ơn, en, ên, in, un, am, ăm, âm</t>
        </is>
      </c>
      <c r="G378" s="3" t="inlineStr">
        <is>
          <t>Sắp xếp</t>
        </is>
      </c>
      <c r="H378" s="14" t="n">
        <v>2</v>
      </c>
      <c r="I378" s="3" t="inlineStr">
        <is>
          <t>Cơ bản</t>
        </is>
      </c>
      <c r="J378" s="3" t="inlineStr">
        <is>
          <t>Sắp xếp các tiếng thành câu</t>
        </is>
      </c>
      <c r="K378" s="3" t="inlineStr">
        <is>
          <t>Bạn / Lan / có / khăn / đỏ</t>
        </is>
      </c>
      <c r="L378" s="3" t="inlineStr">
        <is>
          <t>Bạn → Lan → có → khăn → đỏ</t>
        </is>
      </c>
      <c r="M378" s="3" t="inlineStr">
        <is>
          <t>Câu đúng: Bạn Lan có khăn đỏ.</t>
        </is>
      </c>
      <c r="N378" s="3" t="n"/>
      <c r="O378" s="14" t="n">
        <v>55</v>
      </c>
      <c r="P378" s="14">
        <f>INDEX(Khung_cap_do!$H$2:$H$6,H378)</f>
        <v/>
      </c>
      <c r="Q378" s="3" t="inlineStr">
        <is>
          <t>V1.DOC.01</t>
        </is>
      </c>
      <c r="R378" s="3" t="inlineStr">
        <is>
          <t>TV.XEPCAU</t>
        </is>
      </c>
    </row>
    <row r="379">
      <c r="A379" s="3" t="inlineStr">
        <is>
          <t>tv1-kntt-t07-q7</t>
        </is>
      </c>
      <c r="B379" s="3" t="inlineStr">
        <is>
          <t>Tiếng Việt</t>
        </is>
      </c>
      <c r="C379" s="3" t="inlineStr">
        <is>
          <t>Kết nối tri thức</t>
        </is>
      </c>
      <c r="D379" s="3" t="inlineStr">
        <is>
          <t>Tuần 7 (Bài 31–35)</t>
        </is>
      </c>
      <c r="E379" s="3" t="inlineStr">
        <is>
          <t>Phần 2. Vần (tuần 7–16)</t>
        </is>
      </c>
      <c r="F379" s="3" t="inlineStr">
        <is>
          <t>Tuần 7: an, ăn, ân, on, ôn, ơn, en, ên, in, un, am, ăm, âm</t>
        </is>
      </c>
      <c r="G379" s="3" t="inlineStr">
        <is>
          <t>Chọn nhiều đáp án</t>
        </is>
      </c>
      <c r="H379" s="14" t="n">
        <v>3</v>
      </c>
      <c r="I379" s="3" t="inlineStr">
        <is>
          <t>Vận dụng</t>
        </is>
      </c>
      <c r="J379" s="3" t="inlineStr">
        <is>
          <t>Đọc câu: 'Mẹ mua cam, mua nhãn.' Mẹ mua những quả gì?</t>
        </is>
      </c>
      <c r="K379" s="3" t="inlineStr">
        <is>
          <t>A. cam | B. nhãn | C. dưa | D. na</t>
        </is>
      </c>
      <c r="L379" s="3" t="inlineStr">
        <is>
          <t>A, B</t>
        </is>
      </c>
      <c r="M379" s="3" t="inlineStr">
        <is>
          <t>Mẹ mua cam và nhãn.</t>
        </is>
      </c>
      <c r="N379" s="3" t="inlineStr">
        <is>
          <t>Câu có hai lần 'mua': mua cam, mua nhãn. Vậy mẹ mua cam và nhãn. Dưa và na không có trong câu.</t>
        </is>
      </c>
      <c r="O379" s="14" t="n">
        <v>60</v>
      </c>
      <c r="P379" s="14">
        <f>INDEX(Khung_cap_do!$H$2:$H$6,H379)</f>
        <v/>
      </c>
      <c r="Q379" s="3" t="inlineStr">
        <is>
          <t>V1.DOC.04</t>
        </is>
      </c>
      <c r="R379" s="3" t="inlineStr">
        <is>
          <t>TV.DOCHIEU</t>
        </is>
      </c>
    </row>
    <row r="380">
      <c r="A380" s="3" t="inlineStr">
        <is>
          <t>tv1-kntt-t07-q8</t>
        </is>
      </c>
      <c r="B380" s="3" t="inlineStr">
        <is>
          <t>Tiếng Việt</t>
        </is>
      </c>
      <c r="C380" s="3" t="inlineStr">
        <is>
          <t>Kết nối tri thức</t>
        </is>
      </c>
      <c r="D380" s="3" t="inlineStr">
        <is>
          <t>Tuần 7 (Bài 31–35)</t>
        </is>
      </c>
      <c r="E380" s="3" t="inlineStr">
        <is>
          <t>Phần 2. Vần (tuần 7–16)</t>
        </is>
      </c>
      <c r="F380" s="3" t="inlineStr">
        <is>
          <t>Tuần 7: an, ăn, ân, on, ôn, ơn, en, ên, in, un, am, ăm, âm</t>
        </is>
      </c>
      <c r="G380" s="3" t="inlineStr">
        <is>
          <t>Đúng / Sai</t>
        </is>
      </c>
      <c r="H380" s="14" t="n">
        <v>1</v>
      </c>
      <c r="I380" s="3" t="inlineStr">
        <is>
          <t>Làm quen</t>
        </is>
      </c>
      <c r="J380" s="3" t="inlineStr">
        <is>
          <t>Tiếng 'giun' có vần un. Đúng hay sai?</t>
        </is>
      </c>
      <c r="K380" s="3" t="inlineStr">
        <is>
          <t>A. Đúng | B. Sai</t>
        </is>
      </c>
      <c r="L380" s="3" t="inlineStr">
        <is>
          <t>A</t>
        </is>
      </c>
      <c r="M380" s="3" t="inlineStr">
        <is>
          <t>'giun' = gi + un.</t>
        </is>
      </c>
      <c r="N380" s="3" t="n"/>
      <c r="O380" s="14" t="n">
        <v>30</v>
      </c>
      <c r="P380" s="14">
        <f>INDEX(Khung_cap_do!$H$2:$H$6,H380)</f>
        <v/>
      </c>
      <c r="Q380" s="3" t="inlineStr">
        <is>
          <t>V1.AM.03</t>
        </is>
      </c>
      <c r="R380" s="3" t="inlineStr">
        <is>
          <t>TV.GHEPVAN</t>
        </is>
      </c>
    </row>
    <row r="381">
      <c r="A381" s="3" t="inlineStr">
        <is>
          <t>tv1-kntt-t07-q9</t>
        </is>
      </c>
      <c r="B381" s="3" t="inlineStr">
        <is>
          <t>Tiếng Việt</t>
        </is>
      </c>
      <c r="C381" s="3" t="inlineStr">
        <is>
          <t>Kết nối tri thức</t>
        </is>
      </c>
      <c r="D381" s="3" t="inlineStr">
        <is>
          <t>Tuần 7 (Bài 31–35)</t>
        </is>
      </c>
      <c r="E381" s="3" t="inlineStr">
        <is>
          <t>Phần 2. Vần (tuần 7–16)</t>
        </is>
      </c>
      <c r="F381" s="3" t="inlineStr">
        <is>
          <t>Tuần 7: an, ăn, ân, on, ôn, ơn, en, ên, in, un, am, ăm, âm</t>
        </is>
      </c>
      <c r="G381" s="3" t="inlineStr">
        <is>
          <t>Chọn đáp án</t>
        </is>
      </c>
      <c r="H381" s="14" t="n">
        <v>3</v>
      </c>
      <c r="I381" s="3" t="inlineStr">
        <is>
          <t>Vận dụng</t>
        </is>
      </c>
      <c r="J381" s="3" t="inlineStr">
        <is>
          <t>Con vật có 8 chân, hay giăng tơ là con gì?</t>
        </is>
      </c>
      <c r="K381" s="3" t="inlineStr">
        <is>
          <t>A. con nhện | B. con tằm | C. con chồn</t>
        </is>
      </c>
      <c r="L381" s="3" t="inlineStr">
        <is>
          <t>A</t>
        </is>
      </c>
      <c r="M381" s="3" t="inlineStr">
        <is>
          <t>Con nhện có 8 chân và giăng tơ.</t>
        </is>
      </c>
      <c r="N381" s="3" t="inlineStr">
        <is>
          <t>Con nhện có 8 chân và nhả tơ giăng lưới. Con tằm cũng nhả tơ nhưng không có 8 chân. Chọn 'con nhện'.</t>
        </is>
      </c>
      <c r="O381" s="14" t="n">
        <v>50</v>
      </c>
      <c r="P381" s="14">
        <f>INDEX(Khung_cap_do!$H$2:$H$6,H381)</f>
        <v/>
      </c>
      <c r="Q381" s="3" t="inlineStr">
        <is>
          <t>V1.VIET.04</t>
        </is>
      </c>
      <c r="R381" s="3" t="inlineStr">
        <is>
          <t>TV.NOITU</t>
        </is>
      </c>
    </row>
    <row r="382">
      <c r="A382" s="3" t="inlineStr">
        <is>
          <t>tv1-kntt-t07-q10</t>
        </is>
      </c>
      <c r="B382" s="3" t="inlineStr">
        <is>
          <t>Tiếng Việt</t>
        </is>
      </c>
      <c r="C382" s="3" t="inlineStr">
        <is>
          <t>Kết nối tri thức</t>
        </is>
      </c>
      <c r="D382" s="3" t="inlineStr">
        <is>
          <t>Tuần 7 (Bài 31–35)</t>
        </is>
      </c>
      <c r="E382" s="3" t="inlineStr">
        <is>
          <t>Phần 2. Vần (tuần 7–16)</t>
        </is>
      </c>
      <c r="F382" s="3" t="inlineStr">
        <is>
          <t>Tuần 7: an, ăn, ân, on, ôn, ơn, en, ên, in, un, am, ăm, âm</t>
        </is>
      </c>
      <c r="G382" s="3" t="inlineStr">
        <is>
          <t>Chọn đáp án</t>
        </is>
      </c>
      <c r="H382" s="14" t="n">
        <v>1</v>
      </c>
      <c r="I382" s="3" t="inlineStr">
        <is>
          <t>Làm quen</t>
        </is>
      </c>
      <c r="J382" s="3" t="inlineStr">
        <is>
          <t>Tiếng nào có vần ơn?</t>
        </is>
      </c>
      <c r="K382" s="3" t="inlineStr">
        <is>
          <t>A. sơn | B. sân | C. son</t>
        </is>
      </c>
      <c r="L382" s="3" t="inlineStr">
        <is>
          <t>A</t>
        </is>
      </c>
      <c r="M382" s="3" t="inlineStr">
        <is>
          <t>'sơn' có vần ơn.</t>
        </is>
      </c>
      <c r="N382" s="3" t="n"/>
      <c r="O382" s="14" t="n">
        <v>30</v>
      </c>
      <c r="P382" s="14">
        <f>INDEX(Khung_cap_do!$H$2:$H$6,H382)</f>
        <v/>
      </c>
      <c r="Q382" s="3" t="inlineStr">
        <is>
          <t>V1.AM.03</t>
        </is>
      </c>
      <c r="R382" s="3" t="inlineStr">
        <is>
          <t>TV.GHEPVAN</t>
        </is>
      </c>
    </row>
    <row r="383">
      <c r="A383" s="3" t="inlineStr">
        <is>
          <t>tv1-kntt-t08-q1</t>
        </is>
      </c>
      <c r="B383" s="3" t="inlineStr">
        <is>
          <t>Tiếng Việt</t>
        </is>
      </c>
      <c r="C383" s="3" t="inlineStr">
        <is>
          <t>Kết nối tri thức</t>
        </is>
      </c>
      <c r="D383" s="3" t="inlineStr">
        <is>
          <t>Tuần 8 (Bài 36–40)</t>
        </is>
      </c>
      <c r="E383" s="3" t="inlineStr">
        <is>
          <t>Phần 2. Vần (tuần 7–16)</t>
        </is>
      </c>
      <c r="F383" s="3" t="inlineStr">
        <is>
          <t>Tuần 8: om, ôm, ơm, em, êm, im, um, ai, ay, ây, oi, ôi, ơi</t>
        </is>
      </c>
      <c r="G383" s="3" t="inlineStr">
        <is>
          <t>Chọn đáp án</t>
        </is>
      </c>
      <c r="H383" s="14" t="n">
        <v>1</v>
      </c>
      <c r="I383" s="3" t="inlineStr">
        <is>
          <t>Làm quen</t>
        </is>
      </c>
      <c r="J383" s="3" t="inlineStr">
        <is>
          <t>Tiếng 'tôm' có vần gì?</t>
        </is>
      </c>
      <c r="K383" s="3" t="inlineStr">
        <is>
          <t>A. ôm | B. om | C. ơm</t>
        </is>
      </c>
      <c r="L383" s="3" t="inlineStr">
        <is>
          <t>A</t>
        </is>
      </c>
      <c r="M383" s="3" t="inlineStr">
        <is>
          <t>'tôm' = t + ôm.</t>
        </is>
      </c>
      <c r="N383" s="3" t="n"/>
      <c r="O383" s="14" t="n">
        <v>30</v>
      </c>
      <c r="P383" s="14">
        <f>INDEX(Khung_cap_do!$H$2:$H$6,H383)</f>
        <v/>
      </c>
      <c r="Q383" s="3" t="inlineStr">
        <is>
          <t>V1.AM.03</t>
        </is>
      </c>
      <c r="R383" s="3" t="inlineStr">
        <is>
          <t>TV.GHEPVAN</t>
        </is>
      </c>
    </row>
    <row r="384">
      <c r="A384" s="3" t="inlineStr">
        <is>
          <t>tv1-kntt-t08-q2</t>
        </is>
      </c>
      <c r="B384" s="3" t="inlineStr">
        <is>
          <t>Tiếng Việt</t>
        </is>
      </c>
      <c r="C384" s="3" t="inlineStr">
        <is>
          <t>Kết nối tri thức</t>
        </is>
      </c>
      <c r="D384" s="3" t="inlineStr">
        <is>
          <t>Tuần 8 (Bài 36–40)</t>
        </is>
      </c>
      <c r="E384" s="3" t="inlineStr">
        <is>
          <t>Phần 2. Vần (tuần 7–16)</t>
        </is>
      </c>
      <c r="F384" s="3" t="inlineStr">
        <is>
          <t>Tuần 8: om, ôm, ơm, em, êm, im, um, ai, ay, ây, oi, ôi, ơi</t>
        </is>
      </c>
      <c r="G384" s="3" t="inlineStr">
        <is>
          <t>Chọn đáp án</t>
        </is>
      </c>
      <c r="H384" s="14" t="n">
        <v>2</v>
      </c>
      <c r="I384" s="3" t="inlineStr">
        <is>
          <t>Cơ bản</t>
        </is>
      </c>
      <c r="J384" s="3" t="inlineStr">
        <is>
          <t>Điền ai hay ay: bàn t... (bàn tay)</t>
        </is>
      </c>
      <c r="K384" s="3" t="inlineStr">
        <is>
          <t>A. ai | B. ay</t>
        </is>
      </c>
      <c r="L384" s="3" t="inlineStr">
        <is>
          <t>B</t>
        </is>
      </c>
      <c r="M384" s="3" t="inlineStr">
        <is>
          <t>bàn tay: vần ay.</t>
        </is>
      </c>
      <c r="N384" s="3" t="n"/>
      <c r="O384" s="14" t="n">
        <v>40</v>
      </c>
      <c r="P384" s="14">
        <f>INDEX(Khung_cap_do!$H$2:$H$6,H384)</f>
        <v/>
      </c>
      <c r="Q384" s="3" t="inlineStr">
        <is>
          <t>V1.AM.03</t>
        </is>
      </c>
      <c r="R384" s="3" t="inlineStr">
        <is>
          <t>TV.GHEPVAN</t>
        </is>
      </c>
    </row>
    <row r="385">
      <c r="A385" s="3" t="inlineStr">
        <is>
          <t>tv1-kntt-t08-q3</t>
        </is>
      </c>
      <c r="B385" s="3" t="inlineStr">
        <is>
          <t>Tiếng Việt</t>
        </is>
      </c>
      <c r="C385" s="3" t="inlineStr">
        <is>
          <t>Kết nối tri thức</t>
        </is>
      </c>
      <c r="D385" s="3" t="inlineStr">
        <is>
          <t>Tuần 8 (Bài 36–40)</t>
        </is>
      </c>
      <c r="E385" s="3" t="inlineStr">
        <is>
          <t>Phần 2. Vần (tuần 7–16)</t>
        </is>
      </c>
      <c r="F385" s="3" t="inlineStr">
        <is>
          <t>Tuần 8: om, ôm, ơm, em, êm, im, um, ai, ay, ây, oi, ôi, ơi</t>
        </is>
      </c>
      <c r="G385" s="3" t="inlineStr">
        <is>
          <t>Chọn nhiều đáp án</t>
        </is>
      </c>
      <c r="H385" s="14" t="n">
        <v>2</v>
      </c>
      <c r="I385" s="3" t="inlineStr">
        <is>
          <t>Cơ bản</t>
        </is>
      </c>
      <c r="J385" s="3" t="inlineStr">
        <is>
          <t>Chọn TẤT CẢ các tiếng có vần oi</t>
        </is>
      </c>
      <c r="K385" s="3" t="inlineStr">
        <is>
          <t>A. voi | B. vôi | C. còi | D. cơi | E. đồi</t>
        </is>
      </c>
      <c r="L385" s="3" t="inlineStr">
        <is>
          <t>A, C</t>
        </is>
      </c>
      <c r="M385" s="3" t="inlineStr">
        <is>
          <t>'voi', 'còi' có oi; 'vôi', 'đồi' có ôi; 'cơi' có ơi.</t>
        </is>
      </c>
      <c r="N385" s="3" t="n"/>
      <c r="O385" s="14" t="n">
        <v>50</v>
      </c>
      <c r="P385" s="14">
        <f>INDEX(Khung_cap_do!$H$2:$H$6,H385)</f>
        <v/>
      </c>
      <c r="Q385" s="3" t="inlineStr">
        <is>
          <t>V1.AM.03</t>
        </is>
      </c>
      <c r="R385" s="3" t="inlineStr">
        <is>
          <t>TV.GHEPVAN</t>
        </is>
      </c>
    </row>
    <row r="386">
      <c r="A386" s="3" t="inlineStr">
        <is>
          <t>tv1-kntt-t08-q4</t>
        </is>
      </c>
      <c r="B386" s="3" t="inlineStr">
        <is>
          <t>Tiếng Việt</t>
        </is>
      </c>
      <c r="C386" s="3" t="inlineStr">
        <is>
          <t>Kết nối tri thức</t>
        </is>
      </c>
      <c r="D386" s="3" t="inlineStr">
        <is>
          <t>Tuần 8 (Bài 36–40)</t>
        </is>
      </c>
      <c r="E386" s="3" t="inlineStr">
        <is>
          <t>Phần 2. Vần (tuần 7–16)</t>
        </is>
      </c>
      <c r="F386" s="3" t="inlineStr">
        <is>
          <t>Tuần 8: om, ôm, ơm, em, êm, im, um, ai, ay, ây, oi, ôi, ơi</t>
        </is>
      </c>
      <c r="G386" s="3" t="inlineStr">
        <is>
          <t>Ghép cặp</t>
        </is>
      </c>
      <c r="H386" s="14" t="n">
        <v>2</v>
      </c>
      <c r="I386" s="3" t="inlineStr">
        <is>
          <t>Cơ bản</t>
        </is>
      </c>
      <c r="J386" s="3" t="inlineStr">
        <is>
          <t>Ghép từ với hình đúng</t>
        </is>
      </c>
      <c r="K386" s="3" t="inlineStr">
        <is>
          <t>voi ↔ ? / chim ↔ ? / mây ↔ ?</t>
        </is>
      </c>
      <c r="L386" s="3" t="inlineStr">
        <is>
          <t>voi – 🐘; chim – 🐦; mây – ☁️</t>
        </is>
      </c>
      <c r="M386" s="3" t="inlineStr">
        <is>
          <t>voi, chim, mây.</t>
        </is>
      </c>
      <c r="N386" s="3" t="n"/>
      <c r="O386" s="14" t="n">
        <v>55</v>
      </c>
      <c r="P386" s="14">
        <f>INDEX(Khung_cap_do!$H$2:$H$6,H386)</f>
        <v/>
      </c>
      <c r="Q386" s="3" t="inlineStr">
        <is>
          <t>V1.DOC.05</t>
        </is>
      </c>
      <c r="R386" s="3" t="inlineStr">
        <is>
          <t>TV.NOITU</t>
        </is>
      </c>
    </row>
    <row r="387">
      <c r="A387" s="3" t="inlineStr">
        <is>
          <t>tv1-kntt-t08-q5</t>
        </is>
      </c>
      <c r="B387" s="3" t="inlineStr">
        <is>
          <t>Tiếng Việt</t>
        </is>
      </c>
      <c r="C387" s="3" t="inlineStr">
        <is>
          <t>Kết nối tri thức</t>
        </is>
      </c>
      <c r="D387" s="3" t="inlineStr">
        <is>
          <t>Tuần 8 (Bài 36–40)</t>
        </is>
      </c>
      <c r="E387" s="3" t="inlineStr">
        <is>
          <t>Phần 2. Vần (tuần 7–16)</t>
        </is>
      </c>
      <c r="F387" s="3" t="inlineStr">
        <is>
          <t>Tuần 8: om, ôm, ơm, em, êm, im, um, ai, ay, ây, oi, ôi, ơi</t>
        </is>
      </c>
      <c r="G387" s="3" t="inlineStr">
        <is>
          <t>Điền đáp án</t>
        </is>
      </c>
      <c r="H387" s="14" t="n">
        <v>2</v>
      </c>
      <c r="I387" s="3" t="inlineStr">
        <is>
          <t>Cơ bản</t>
        </is>
      </c>
      <c r="J387" s="3" t="inlineStr">
        <is>
          <t>Ghép âm c với vần ơm. Được tiếng gì?</t>
        </is>
      </c>
      <c r="K387" s="3" t="inlineStr"/>
      <c r="L387" s="3" t="inlineStr">
        <is>
          <t>cơm</t>
        </is>
      </c>
      <c r="M387" s="3" t="inlineStr">
        <is>
          <t>c – ơm – cơm.</t>
        </is>
      </c>
      <c r="N387" s="3" t="n"/>
      <c r="O387" s="14" t="n">
        <v>50</v>
      </c>
      <c r="P387" s="14">
        <f>INDEX(Khung_cap_do!$H$2:$H$6,H387)</f>
        <v/>
      </c>
      <c r="Q387" s="3" t="inlineStr">
        <is>
          <t>V1.DOC.01</t>
        </is>
      </c>
      <c r="R387" s="3" t="inlineStr">
        <is>
          <t>TV.GHEPVAN</t>
        </is>
      </c>
    </row>
    <row r="388">
      <c r="A388" s="3" t="inlineStr">
        <is>
          <t>tv1-kntt-t08-q6</t>
        </is>
      </c>
      <c r="B388" s="3" t="inlineStr">
        <is>
          <t>Tiếng Việt</t>
        </is>
      </c>
      <c r="C388" s="3" t="inlineStr">
        <is>
          <t>Kết nối tri thức</t>
        </is>
      </c>
      <c r="D388" s="3" t="inlineStr">
        <is>
          <t>Tuần 8 (Bài 36–40)</t>
        </is>
      </c>
      <c r="E388" s="3" t="inlineStr">
        <is>
          <t>Phần 2. Vần (tuần 7–16)</t>
        </is>
      </c>
      <c r="F388" s="3" t="inlineStr">
        <is>
          <t>Tuần 8: om, ôm, ơm, em, êm, im, um, ai, ay, ây, oi, ôi, ơi</t>
        </is>
      </c>
      <c r="G388" s="3" t="inlineStr">
        <is>
          <t>Sắp xếp</t>
        </is>
      </c>
      <c r="H388" s="14" t="n">
        <v>2</v>
      </c>
      <c r="I388" s="3" t="inlineStr">
        <is>
          <t>Cơ bản</t>
        </is>
      </c>
      <c r="J388" s="3" t="inlineStr">
        <is>
          <t>Sắp xếp các tiếng thành câu</t>
        </is>
      </c>
      <c r="K388" s="3" t="inlineStr">
        <is>
          <t>bơi / cá / lội / Đàn</t>
        </is>
      </c>
      <c r="L388" s="3" t="inlineStr">
        <is>
          <t>Đàn → cá → bơi → lội</t>
        </is>
      </c>
      <c r="M388" s="3" t="inlineStr">
        <is>
          <t>Câu đúng: Đàn cá bơi lội.</t>
        </is>
      </c>
      <c r="N388" s="3" t="n"/>
      <c r="O388" s="14" t="n">
        <v>55</v>
      </c>
      <c r="P388" s="14">
        <f>INDEX(Khung_cap_do!$H$2:$H$6,H388)</f>
        <v/>
      </c>
      <c r="Q388" s="3" t="inlineStr">
        <is>
          <t>V1.DOC.01</t>
        </is>
      </c>
      <c r="R388" s="3" t="inlineStr">
        <is>
          <t>TV.XEPCAU</t>
        </is>
      </c>
    </row>
    <row r="389">
      <c r="A389" s="3" t="inlineStr">
        <is>
          <t>tv1-kntt-t08-q7</t>
        </is>
      </c>
      <c r="B389" s="3" t="inlineStr">
        <is>
          <t>Tiếng Việt</t>
        </is>
      </c>
      <c r="C389" s="3" t="inlineStr">
        <is>
          <t>Kết nối tri thức</t>
        </is>
      </c>
      <c r="D389" s="3" t="inlineStr">
        <is>
          <t>Tuần 8 (Bài 36–40)</t>
        </is>
      </c>
      <c r="E389" s="3" t="inlineStr">
        <is>
          <t>Phần 2. Vần (tuần 7–16)</t>
        </is>
      </c>
      <c r="F389" s="3" t="inlineStr">
        <is>
          <t>Tuần 8: om, ôm, ơm, em, êm, im, um, ai, ay, ây, oi, ôi, ơi</t>
        </is>
      </c>
      <c r="G389" s="3" t="inlineStr">
        <is>
          <t>Chọn đáp án</t>
        </is>
      </c>
      <c r="H389" s="14" t="n">
        <v>3</v>
      </c>
      <c r="I389" s="3" t="inlineStr">
        <is>
          <t>Vận dụng</t>
        </is>
      </c>
      <c r="J389" s="3" t="inlineStr">
        <is>
          <t>Đọc câu: 'Hai chú voi đi ăn mía.' Có mấy chú voi?</t>
        </is>
      </c>
      <c r="K389" s="3" t="inlineStr">
        <is>
          <t>A. hai | B. ba | C. bốn</t>
        </is>
      </c>
      <c r="L389" s="3" t="inlineStr">
        <is>
          <t>A</t>
        </is>
      </c>
      <c r="M389" s="3" t="inlineStr">
        <is>
          <t>Câu nói "Hai chú voi".</t>
        </is>
      </c>
      <c r="N389" s="3" t="inlineStr">
        <is>
          <t>Đọc tiếng đầu câu: 'Hai chú voi'. Tiếng 'Hai' cho biết có hai chú voi.</t>
        </is>
      </c>
      <c r="O389" s="14" t="n">
        <v>50</v>
      </c>
      <c r="P389" s="14">
        <f>INDEX(Khung_cap_do!$H$2:$H$6,H389)</f>
        <v/>
      </c>
      <c r="Q389" s="3" t="inlineStr">
        <is>
          <t>V1.DOC.04</t>
        </is>
      </c>
      <c r="R389" s="3" t="inlineStr">
        <is>
          <t>TV.DOCHIEU</t>
        </is>
      </c>
    </row>
    <row r="390">
      <c r="A390" s="3" t="inlineStr">
        <is>
          <t>tv1-kntt-t08-q8</t>
        </is>
      </c>
      <c r="B390" s="3" t="inlineStr">
        <is>
          <t>Tiếng Việt</t>
        </is>
      </c>
      <c r="C390" s="3" t="inlineStr">
        <is>
          <t>Kết nối tri thức</t>
        </is>
      </c>
      <c r="D390" s="3" t="inlineStr">
        <is>
          <t>Tuần 8 (Bài 36–40)</t>
        </is>
      </c>
      <c r="E390" s="3" t="inlineStr">
        <is>
          <t>Phần 2. Vần (tuần 7–16)</t>
        </is>
      </c>
      <c r="F390" s="3" t="inlineStr">
        <is>
          <t>Tuần 8: om, ôm, ơm, em, êm, im, um, ai, ay, ây, oi, ôi, ơi</t>
        </is>
      </c>
      <c r="G390" s="3" t="inlineStr">
        <is>
          <t>Đúng / Sai</t>
        </is>
      </c>
      <c r="H390" s="14" t="n">
        <v>1</v>
      </c>
      <c r="I390" s="3" t="inlineStr">
        <is>
          <t>Làm quen</t>
        </is>
      </c>
      <c r="J390" s="3" t="inlineStr">
        <is>
          <t>Tiếng 'kem' có vần em. Đúng hay sai?</t>
        </is>
      </c>
      <c r="K390" s="3" t="inlineStr">
        <is>
          <t>A. Đúng | B. Sai</t>
        </is>
      </c>
      <c r="L390" s="3" t="inlineStr">
        <is>
          <t>A</t>
        </is>
      </c>
      <c r="M390" s="3" t="inlineStr">
        <is>
          <t>'kem' = k + em.</t>
        </is>
      </c>
      <c r="N390" s="3" t="n"/>
      <c r="O390" s="14" t="n">
        <v>30</v>
      </c>
      <c r="P390" s="14">
        <f>INDEX(Khung_cap_do!$H$2:$H$6,H390)</f>
        <v/>
      </c>
      <c r="Q390" s="3" t="inlineStr">
        <is>
          <t>V1.AM.03</t>
        </is>
      </c>
      <c r="R390" s="3" t="inlineStr">
        <is>
          <t>TV.GHEPVAN</t>
        </is>
      </c>
    </row>
    <row r="391">
      <c r="A391" s="3" t="inlineStr">
        <is>
          <t>tv1-kntt-t08-q9</t>
        </is>
      </c>
      <c r="B391" s="3" t="inlineStr">
        <is>
          <t>Tiếng Việt</t>
        </is>
      </c>
      <c r="C391" s="3" t="inlineStr">
        <is>
          <t>Kết nối tri thức</t>
        </is>
      </c>
      <c r="D391" s="3" t="inlineStr">
        <is>
          <t>Tuần 8 (Bài 36–40)</t>
        </is>
      </c>
      <c r="E391" s="3" t="inlineStr">
        <is>
          <t>Phần 2. Vần (tuần 7–16)</t>
        </is>
      </c>
      <c r="F391" s="3" t="inlineStr">
        <is>
          <t>Tuần 8: om, ôm, ơm, em, êm, im, um, ai, ay, ây, oi, ôi, ơi</t>
        </is>
      </c>
      <c r="G391" s="3" t="inlineStr">
        <is>
          <t>Chọn đáp án</t>
        </is>
      </c>
      <c r="H391" s="14" t="n">
        <v>2</v>
      </c>
      <c r="I391" s="3" t="inlineStr">
        <is>
          <t>Cơ bản</t>
        </is>
      </c>
      <c r="J391" s="3" t="inlineStr">
        <is>
          <t>Từ nào chỉ đồ ăn?</t>
        </is>
      </c>
      <c r="K391" s="3" t="inlineStr">
        <is>
          <t>A. cơm | B. mây | C. ghim</t>
        </is>
      </c>
      <c r="L391" s="3" t="inlineStr">
        <is>
          <t>A</t>
        </is>
      </c>
      <c r="M391" s="3" t="inlineStr">
        <is>
          <t>Cơm là đồ ăn.</t>
        </is>
      </c>
      <c r="N391" s="3" t="n"/>
      <c r="O391" s="14" t="n">
        <v>40</v>
      </c>
      <c r="P391" s="14">
        <f>INDEX(Khung_cap_do!$H$2:$H$6,H391)</f>
        <v/>
      </c>
      <c r="Q391" s="3" t="inlineStr">
        <is>
          <t>V1.VIET.04</t>
        </is>
      </c>
      <c r="R391" s="3" t="inlineStr">
        <is>
          <t>TV.TUNGU</t>
        </is>
      </c>
    </row>
    <row r="392">
      <c r="A392" s="3" t="inlineStr">
        <is>
          <t>tv1-kntt-t08-q10</t>
        </is>
      </c>
      <c r="B392" s="3" t="inlineStr">
        <is>
          <t>Tiếng Việt</t>
        </is>
      </c>
      <c r="C392" s="3" t="inlineStr">
        <is>
          <t>Kết nối tri thức</t>
        </is>
      </c>
      <c r="D392" s="3" t="inlineStr">
        <is>
          <t>Tuần 8 (Bài 36–40)</t>
        </is>
      </c>
      <c r="E392" s="3" t="inlineStr">
        <is>
          <t>Phần 2. Vần (tuần 7–16)</t>
        </is>
      </c>
      <c r="F392" s="3" t="inlineStr">
        <is>
          <t>Tuần 8: om, ôm, ơm, em, êm, im, um, ai, ay, ây, oi, ôi, ơi</t>
        </is>
      </c>
      <c r="G392" s="3" t="inlineStr">
        <is>
          <t>Chọn đáp án</t>
        </is>
      </c>
      <c r="H392" s="14" t="n">
        <v>3</v>
      </c>
      <c r="I392" s="3" t="inlineStr">
        <is>
          <t>Vận dụng</t>
        </is>
      </c>
      <c r="J392" s="3" t="inlineStr">
        <is>
          <t>Ban ... trời tối, có trăng sao.</t>
        </is>
      </c>
      <c r="K392" s="3" t="inlineStr">
        <is>
          <t>A. đêm | B. kem | C. tem</t>
        </is>
      </c>
      <c r="L392" s="3" t="inlineStr">
        <is>
          <t>A</t>
        </is>
      </c>
      <c r="M392" s="3" t="inlineStr">
        <is>
          <t>Ban đêm trời tối.</t>
        </is>
      </c>
      <c r="N392" s="3" t="inlineStr">
        <is>
          <t>Lúc trời tối, có trăng sao là ban đêm. 'kem', 'tem' không chỉ thời gian. Chọn 'đêm'.</t>
        </is>
      </c>
      <c r="O392" s="14" t="n">
        <v>50</v>
      </c>
      <c r="P392" s="14">
        <f>INDEX(Khung_cap_do!$H$2:$H$6,H392)</f>
        <v/>
      </c>
      <c r="Q392" s="3" t="inlineStr">
        <is>
          <t>V1.VIET.04</t>
        </is>
      </c>
      <c r="R392" s="3" t="inlineStr">
        <is>
          <t>TV.NOITU</t>
        </is>
      </c>
    </row>
    <row r="393">
      <c r="A393" s="3" t="inlineStr">
        <is>
          <t>tv1-kntt-t09-q1</t>
        </is>
      </c>
      <c r="B393" s="3" t="inlineStr">
        <is>
          <t>Tiếng Việt</t>
        </is>
      </c>
      <c r="C393" s="3" t="inlineStr">
        <is>
          <t>Kết nối tri thức</t>
        </is>
      </c>
      <c r="D393" s="3" t="inlineStr">
        <is>
          <t>Tuần 9 (Bài 41–45)</t>
        </is>
      </c>
      <c r="E393" s="3" t="inlineStr">
        <is>
          <t>Phần 2. Vần (tuần 7–16)</t>
        </is>
      </c>
      <c r="F393" s="3" t="inlineStr">
        <is>
          <t>Tuần 9: ui, ưi, ao, eo, au, âu, êu, iu, ưu</t>
        </is>
      </c>
      <c r="G393" s="3" t="inlineStr">
        <is>
          <t>Chọn đáp án</t>
        </is>
      </c>
      <c r="H393" s="14" t="n">
        <v>1</v>
      </c>
      <c r="I393" s="3" t="inlineStr">
        <is>
          <t>Làm quen</t>
        </is>
      </c>
      <c r="J393" s="3" t="inlineStr">
        <is>
          <t>Tiếng 'mèo' có vần gì?</t>
        </is>
      </c>
      <c r="K393" s="3" t="inlineStr">
        <is>
          <t>A. eo | B. ao | C. êu</t>
        </is>
      </c>
      <c r="L393" s="3" t="inlineStr">
        <is>
          <t>A</t>
        </is>
      </c>
      <c r="M393" s="3" t="inlineStr">
        <is>
          <t>'mèo' = m + eo, dấu huyền.</t>
        </is>
      </c>
      <c r="N393" s="3" t="n"/>
      <c r="O393" s="14" t="n">
        <v>30</v>
      </c>
      <c r="P393" s="14">
        <f>INDEX(Khung_cap_do!$H$2:$H$6,H393)</f>
        <v/>
      </c>
      <c r="Q393" s="3" t="inlineStr">
        <is>
          <t>V1.AM.03</t>
        </is>
      </c>
      <c r="R393" s="3" t="inlineStr">
        <is>
          <t>TV.GHEPVAN</t>
        </is>
      </c>
    </row>
    <row r="394">
      <c r="A394" s="3" t="inlineStr">
        <is>
          <t>tv1-kntt-t09-q2</t>
        </is>
      </c>
      <c r="B394" s="3" t="inlineStr">
        <is>
          <t>Tiếng Việt</t>
        </is>
      </c>
      <c r="C394" s="3" t="inlineStr">
        <is>
          <t>Kết nối tri thức</t>
        </is>
      </c>
      <c r="D394" s="3" t="inlineStr">
        <is>
          <t>Tuần 9 (Bài 41–45)</t>
        </is>
      </c>
      <c r="E394" s="3" t="inlineStr">
        <is>
          <t>Phần 2. Vần (tuần 7–16)</t>
        </is>
      </c>
      <c r="F394" s="3" t="inlineStr">
        <is>
          <t>Tuần 9: ui, ưi, ao, eo, au, âu, êu, iu, ưu</t>
        </is>
      </c>
      <c r="G394" s="3" t="inlineStr">
        <is>
          <t>Chọn đáp án</t>
        </is>
      </c>
      <c r="H394" s="14" t="n">
        <v>2</v>
      </c>
      <c r="I394" s="3" t="inlineStr">
        <is>
          <t>Cơ bản</t>
        </is>
      </c>
      <c r="J394" s="3" t="inlineStr">
        <is>
          <t>Điền au hay âu: con tr...</t>
        </is>
      </c>
      <c r="K394" s="3" t="inlineStr">
        <is>
          <t>A. au | B. âu</t>
        </is>
      </c>
      <c r="L394" s="3" t="inlineStr">
        <is>
          <t>B</t>
        </is>
      </c>
      <c r="M394" s="3" t="inlineStr">
        <is>
          <t>con trâu: vần âu.</t>
        </is>
      </c>
      <c r="N394" s="3" t="n"/>
      <c r="O394" s="14" t="n">
        <v>40</v>
      </c>
      <c r="P394" s="14">
        <f>INDEX(Khung_cap_do!$H$2:$H$6,H394)</f>
        <v/>
      </c>
      <c r="Q394" s="3" t="inlineStr">
        <is>
          <t>V1.AM.03</t>
        </is>
      </c>
      <c r="R394" s="3" t="inlineStr">
        <is>
          <t>TV.GHEPVAN</t>
        </is>
      </c>
    </row>
    <row r="395">
      <c r="A395" s="3" t="inlineStr">
        <is>
          <t>tv1-kntt-t09-q3</t>
        </is>
      </c>
      <c r="B395" s="3" t="inlineStr">
        <is>
          <t>Tiếng Việt</t>
        </is>
      </c>
      <c r="C395" s="3" t="inlineStr">
        <is>
          <t>Kết nối tri thức</t>
        </is>
      </c>
      <c r="D395" s="3" t="inlineStr">
        <is>
          <t>Tuần 9 (Bài 41–45)</t>
        </is>
      </c>
      <c r="E395" s="3" t="inlineStr">
        <is>
          <t>Phần 2. Vần (tuần 7–16)</t>
        </is>
      </c>
      <c r="F395" s="3" t="inlineStr">
        <is>
          <t>Tuần 9: ui, ưi, ao, eo, au, âu, êu, iu, ưu</t>
        </is>
      </c>
      <c r="G395" s="3" t="inlineStr">
        <is>
          <t>Chọn nhiều đáp án</t>
        </is>
      </c>
      <c r="H395" s="14" t="n">
        <v>2</v>
      </c>
      <c r="I395" s="3" t="inlineStr">
        <is>
          <t>Cơ bản</t>
        </is>
      </c>
      <c r="J395" s="3" t="inlineStr">
        <is>
          <t>Chọn TẤT CẢ các tiếng có vần ui</t>
        </is>
      </c>
      <c r="K395" s="3" t="inlineStr">
        <is>
          <t>A. túi | B. núi | C. gửi | D. tai | E. đồi</t>
        </is>
      </c>
      <c r="L395" s="3" t="inlineStr">
        <is>
          <t>A, B</t>
        </is>
      </c>
      <c r="M395" s="3" t="inlineStr">
        <is>
          <t>'túi', 'núi' có ui; 'gửi' có ưi.</t>
        </is>
      </c>
      <c r="N395" s="3" t="n"/>
      <c r="O395" s="14" t="n">
        <v>50</v>
      </c>
      <c r="P395" s="14">
        <f>INDEX(Khung_cap_do!$H$2:$H$6,H395)</f>
        <v/>
      </c>
      <c r="Q395" s="3" t="inlineStr">
        <is>
          <t>V1.AM.03</t>
        </is>
      </c>
      <c r="R395" s="3" t="inlineStr">
        <is>
          <t>TV.GHEPVAN</t>
        </is>
      </c>
    </row>
    <row r="396">
      <c r="A396" s="3" t="inlineStr">
        <is>
          <t>tv1-kntt-t09-q4</t>
        </is>
      </c>
      <c r="B396" s="3" t="inlineStr">
        <is>
          <t>Tiếng Việt</t>
        </is>
      </c>
      <c r="C396" s="3" t="inlineStr">
        <is>
          <t>Kết nối tri thức</t>
        </is>
      </c>
      <c r="D396" s="3" t="inlineStr">
        <is>
          <t>Tuần 9 (Bài 41–45)</t>
        </is>
      </c>
      <c r="E396" s="3" t="inlineStr">
        <is>
          <t>Phần 2. Vần (tuần 7–16)</t>
        </is>
      </c>
      <c r="F396" s="3" t="inlineStr">
        <is>
          <t>Tuần 9: ui, ưi, ao, eo, au, âu, êu, iu, ưu</t>
        </is>
      </c>
      <c r="G396" s="3" t="inlineStr">
        <is>
          <t>Ghép cặp</t>
        </is>
      </c>
      <c r="H396" s="14" t="n">
        <v>2</v>
      </c>
      <c r="I396" s="3" t="inlineStr">
        <is>
          <t>Cơ bản</t>
        </is>
      </c>
      <c r="J396" s="3" t="inlineStr">
        <is>
          <t>Ghép từ với hình đúng</t>
        </is>
      </c>
      <c r="K396" s="3" t="inlineStr">
        <is>
          <t>mèo ↔ ? / cừu ↔ ? / kéo ↔ ?</t>
        </is>
      </c>
      <c r="L396" s="3" t="inlineStr">
        <is>
          <t>mèo – 🐈; cừu – 🐑; kéo – ✂️</t>
        </is>
      </c>
      <c r="M396" s="3" t="inlineStr">
        <is>
          <t>mèo, cừu, kéo.</t>
        </is>
      </c>
      <c r="N396" s="3" t="n"/>
      <c r="O396" s="14" t="n">
        <v>55</v>
      </c>
      <c r="P396" s="14">
        <f>INDEX(Khung_cap_do!$H$2:$H$6,H396)</f>
        <v/>
      </c>
      <c r="Q396" s="3" t="inlineStr">
        <is>
          <t>V1.DOC.05</t>
        </is>
      </c>
      <c r="R396" s="3" t="inlineStr">
        <is>
          <t>TV.NOITU</t>
        </is>
      </c>
    </row>
    <row r="397">
      <c r="A397" s="3" t="inlineStr">
        <is>
          <t>tv1-kntt-t09-q5</t>
        </is>
      </c>
      <c r="B397" s="3" t="inlineStr">
        <is>
          <t>Tiếng Việt</t>
        </is>
      </c>
      <c r="C397" s="3" t="inlineStr">
        <is>
          <t>Kết nối tri thức</t>
        </is>
      </c>
      <c r="D397" s="3" t="inlineStr">
        <is>
          <t>Tuần 9 (Bài 41–45)</t>
        </is>
      </c>
      <c r="E397" s="3" t="inlineStr">
        <is>
          <t>Phần 2. Vần (tuần 7–16)</t>
        </is>
      </c>
      <c r="F397" s="3" t="inlineStr">
        <is>
          <t>Tuần 9: ui, ưi, ao, eo, au, âu, êu, iu, ưu</t>
        </is>
      </c>
      <c r="G397" s="3" t="inlineStr">
        <is>
          <t>Điền đáp án</t>
        </is>
      </c>
      <c r="H397" s="14" t="n">
        <v>2</v>
      </c>
      <c r="I397" s="3" t="inlineStr">
        <is>
          <t>Cơ bản</t>
        </is>
      </c>
      <c r="J397" s="3" t="inlineStr">
        <is>
          <t>Ghép âm s với vần ao. Được tiếng gì?</t>
        </is>
      </c>
      <c r="K397" s="3" t="inlineStr"/>
      <c r="L397" s="3" t="inlineStr">
        <is>
          <t>sao</t>
        </is>
      </c>
      <c r="M397" s="3" t="inlineStr">
        <is>
          <t>s – ao – sao.</t>
        </is>
      </c>
      <c r="N397" s="3" t="n"/>
      <c r="O397" s="14" t="n">
        <v>50</v>
      </c>
      <c r="P397" s="14">
        <f>INDEX(Khung_cap_do!$H$2:$H$6,H397)</f>
        <v/>
      </c>
      <c r="Q397" s="3" t="inlineStr">
        <is>
          <t>V1.DOC.01</t>
        </is>
      </c>
      <c r="R397" s="3" t="inlineStr">
        <is>
          <t>TV.GHEPVAN</t>
        </is>
      </c>
    </row>
    <row r="398">
      <c r="A398" s="3" t="inlineStr">
        <is>
          <t>tv1-kntt-t09-q6</t>
        </is>
      </c>
      <c r="B398" s="3" t="inlineStr">
        <is>
          <t>Tiếng Việt</t>
        </is>
      </c>
      <c r="C398" s="3" t="inlineStr">
        <is>
          <t>Kết nối tri thức</t>
        </is>
      </c>
      <c r="D398" s="3" t="inlineStr">
        <is>
          <t>Tuần 9 (Bài 41–45)</t>
        </is>
      </c>
      <c r="E398" s="3" t="inlineStr">
        <is>
          <t>Phần 2. Vần (tuần 7–16)</t>
        </is>
      </c>
      <c r="F398" s="3" t="inlineStr">
        <is>
          <t>Tuần 9: ui, ưi, ao, eo, au, âu, êu, iu, ưu</t>
        </is>
      </c>
      <c r="G398" s="3" t="inlineStr">
        <is>
          <t>Sắp xếp</t>
        </is>
      </c>
      <c r="H398" s="14" t="n">
        <v>2</v>
      </c>
      <c r="I398" s="3" t="inlineStr">
        <is>
          <t>Cơ bản</t>
        </is>
      </c>
      <c r="J398" s="3" t="inlineStr">
        <is>
          <t>Sắp xếp các tiếng thành câu</t>
        </is>
      </c>
      <c r="K398" s="3" t="inlineStr">
        <is>
          <t>Bé / cải / hái / rau</t>
        </is>
      </c>
      <c r="L398" s="3" t="inlineStr">
        <is>
          <t>Bé → hái → rau → cải</t>
        </is>
      </c>
      <c r="M398" s="3" t="inlineStr">
        <is>
          <t>Câu đúng: Bé hái rau cải.</t>
        </is>
      </c>
      <c r="N398" s="3" t="n"/>
      <c r="O398" s="14" t="n">
        <v>55</v>
      </c>
      <c r="P398" s="14">
        <f>INDEX(Khung_cap_do!$H$2:$H$6,H398)</f>
        <v/>
      </c>
      <c r="Q398" s="3" t="inlineStr">
        <is>
          <t>V1.DOC.01</t>
        </is>
      </c>
      <c r="R398" s="3" t="inlineStr">
        <is>
          <t>TV.XEPCAU</t>
        </is>
      </c>
    </row>
    <row r="399">
      <c r="A399" s="3" t="inlineStr">
        <is>
          <t>tv1-kntt-t09-q7</t>
        </is>
      </c>
      <c r="B399" s="3" t="inlineStr">
        <is>
          <t>Tiếng Việt</t>
        </is>
      </c>
      <c r="C399" s="3" t="inlineStr">
        <is>
          <t>Kết nối tri thức</t>
        </is>
      </c>
      <c r="D399" s="3" t="inlineStr">
        <is>
          <t>Tuần 9 (Bài 41–45)</t>
        </is>
      </c>
      <c r="E399" s="3" t="inlineStr">
        <is>
          <t>Phần 2. Vần (tuần 7–16)</t>
        </is>
      </c>
      <c r="F399" s="3" t="inlineStr">
        <is>
          <t>Tuần 9: ui, ưi, ao, eo, au, âu, êu, iu, ưu</t>
        </is>
      </c>
      <c r="G399" s="3" t="inlineStr">
        <is>
          <t>Chọn đáp án</t>
        </is>
      </c>
      <c r="H399" s="14" t="n">
        <v>3</v>
      </c>
      <c r="I399" s="3" t="inlineStr">
        <is>
          <t>Vận dụng</t>
        </is>
      </c>
      <c r="J399" s="3" t="inlineStr">
        <is>
          <t>Đọc câu: 'Con mèo trèo cây cau.' Mèo trèo cây gì?</t>
        </is>
      </c>
      <c r="K399" s="3" t="inlineStr">
        <is>
          <t>A. cây cau | B. cây lựu | C. cây tre</t>
        </is>
      </c>
      <c r="L399" s="3" t="inlineStr">
        <is>
          <t>A</t>
        </is>
      </c>
      <c r="M399" s="3" t="inlineStr">
        <is>
          <t>Mèo trèo cây cau.</t>
        </is>
      </c>
      <c r="N399" s="3" t="inlineStr">
        <is>
          <t>Đọc chậm: Con – mèo – trèo – cây – cau. Hai tiếng cuối 'cây cau' là cây mèo trèo lên.</t>
        </is>
      </c>
      <c r="O399" s="14" t="n">
        <v>50</v>
      </c>
      <c r="P399" s="14">
        <f>INDEX(Khung_cap_do!$H$2:$H$6,H399)</f>
        <v/>
      </c>
      <c r="Q399" s="3" t="inlineStr">
        <is>
          <t>V1.DOC.04</t>
        </is>
      </c>
      <c r="R399" s="3" t="inlineStr">
        <is>
          <t>TV.DOCHIEU</t>
        </is>
      </c>
    </row>
    <row r="400">
      <c r="A400" s="3" t="inlineStr">
        <is>
          <t>tv1-kntt-t09-q8</t>
        </is>
      </c>
      <c r="B400" s="3" t="inlineStr">
        <is>
          <t>Tiếng Việt</t>
        </is>
      </c>
      <c r="C400" s="3" t="inlineStr">
        <is>
          <t>Kết nối tri thức</t>
        </is>
      </c>
      <c r="D400" s="3" t="inlineStr">
        <is>
          <t>Tuần 9 (Bài 41–45)</t>
        </is>
      </c>
      <c r="E400" s="3" t="inlineStr">
        <is>
          <t>Phần 2. Vần (tuần 7–16)</t>
        </is>
      </c>
      <c r="F400" s="3" t="inlineStr">
        <is>
          <t>Tuần 9: ui, ưi, ao, eo, au, âu, êu, iu, ưu</t>
        </is>
      </c>
      <c r="G400" s="3" t="inlineStr">
        <is>
          <t>Đúng / Sai</t>
        </is>
      </c>
      <c r="H400" s="14" t="n">
        <v>1</v>
      </c>
      <c r="I400" s="3" t="inlineStr">
        <is>
          <t>Làm quen</t>
        </is>
      </c>
      <c r="J400" s="3" t="inlineStr">
        <is>
          <t>Tiếng 'cừu' có vần ưu. Đúng hay sai?</t>
        </is>
      </c>
      <c r="K400" s="3" t="inlineStr">
        <is>
          <t>A. Đúng | B. Sai</t>
        </is>
      </c>
      <c r="L400" s="3" t="inlineStr">
        <is>
          <t>A</t>
        </is>
      </c>
      <c r="M400" s="3" t="inlineStr">
        <is>
          <t>'cừu' = c + ưu, dấu huyền.</t>
        </is>
      </c>
      <c r="N400" s="3" t="n"/>
      <c r="O400" s="14" t="n">
        <v>30</v>
      </c>
      <c r="P400" s="14">
        <f>INDEX(Khung_cap_do!$H$2:$H$6,H400)</f>
        <v/>
      </c>
      <c r="Q400" s="3" t="inlineStr">
        <is>
          <t>V1.AM.03</t>
        </is>
      </c>
      <c r="R400" s="3" t="inlineStr">
        <is>
          <t>TV.GHEPVAN</t>
        </is>
      </c>
    </row>
    <row r="401">
      <c r="A401" s="3" t="inlineStr">
        <is>
          <t>tv1-kntt-t09-q9</t>
        </is>
      </c>
      <c r="B401" s="3" t="inlineStr">
        <is>
          <t>Tiếng Việt</t>
        </is>
      </c>
      <c r="C401" s="3" t="inlineStr">
        <is>
          <t>Kết nối tri thức</t>
        </is>
      </c>
      <c r="D401" s="3" t="inlineStr">
        <is>
          <t>Tuần 9 (Bài 41–45)</t>
        </is>
      </c>
      <c r="E401" s="3" t="inlineStr">
        <is>
          <t>Phần 2. Vần (tuần 7–16)</t>
        </is>
      </c>
      <c r="F401" s="3" t="inlineStr">
        <is>
          <t>Tuần 9: ui, ưi, ao, eo, au, âu, êu, iu, ưu</t>
        </is>
      </c>
      <c r="G401" s="3" t="inlineStr">
        <is>
          <t>Chọn đáp án</t>
        </is>
      </c>
      <c r="H401" s="14" t="n">
        <v>1</v>
      </c>
      <c r="I401" s="3" t="inlineStr">
        <is>
          <t>Làm quen</t>
        </is>
      </c>
      <c r="J401" s="3" t="inlineStr">
        <is>
          <t>Con gì kêu 'meo meo'?</t>
        </is>
      </c>
      <c r="K401" s="3" t="inlineStr">
        <is>
          <t>A. con mèo | B. con cừu | C. con trâu</t>
        </is>
      </c>
      <c r="L401" s="3" t="inlineStr">
        <is>
          <t>A</t>
        </is>
      </c>
      <c r="M401" s="3" t="inlineStr">
        <is>
          <t>Con mèo kêu meo meo.</t>
        </is>
      </c>
      <c r="N401" s="3" t="n"/>
      <c r="O401" s="14" t="n">
        <v>30</v>
      </c>
      <c r="P401" s="14">
        <f>INDEX(Khung_cap_do!$H$2:$H$6,H401)</f>
        <v/>
      </c>
      <c r="Q401" s="3" t="inlineStr">
        <is>
          <t>V1.VIET.04</t>
        </is>
      </c>
      <c r="R401" s="3" t="inlineStr">
        <is>
          <t>TV.NOITU</t>
        </is>
      </c>
    </row>
    <row r="402">
      <c r="A402" s="3" t="inlineStr">
        <is>
          <t>tv1-kntt-t09-q10</t>
        </is>
      </c>
      <c r="B402" s="3" t="inlineStr">
        <is>
          <t>Tiếng Việt</t>
        </is>
      </c>
      <c r="C402" s="3" t="inlineStr">
        <is>
          <t>Kết nối tri thức</t>
        </is>
      </c>
      <c r="D402" s="3" t="inlineStr">
        <is>
          <t>Tuần 9 (Bài 41–45)</t>
        </is>
      </c>
      <c r="E402" s="3" t="inlineStr">
        <is>
          <t>Phần 2. Vần (tuần 7–16)</t>
        </is>
      </c>
      <c r="F402" s="3" t="inlineStr">
        <is>
          <t>Tuần 9: ui, ưi, ao, eo, au, âu, êu, iu, ưu</t>
        </is>
      </c>
      <c r="G402" s="3" t="inlineStr">
        <is>
          <t>Chọn nhiều đáp án</t>
        </is>
      </c>
      <c r="H402" s="14" t="n">
        <v>2</v>
      </c>
      <c r="I402" s="3" t="inlineStr">
        <is>
          <t>Cơ bản</t>
        </is>
      </c>
      <c r="J402" s="3" t="inlineStr">
        <is>
          <t>Chọn TẤT CẢ các từ chỉ con vật</t>
        </is>
      </c>
      <c r="K402" s="3" t="inlineStr">
        <is>
          <t>A. trâu | B. rau | C. cừu | D. túi | E. sâu</t>
        </is>
      </c>
      <c r="L402" s="3" t="inlineStr">
        <is>
          <t>A, C, E</t>
        </is>
      </c>
      <c r="M402" s="3" t="inlineStr">
        <is>
          <t>trâu, cừu, sâu là con vật; rau, túi không phải.</t>
        </is>
      </c>
      <c r="N402" s="3" t="n"/>
      <c r="O402" s="14" t="n">
        <v>50</v>
      </c>
      <c r="P402" s="14">
        <f>INDEX(Khung_cap_do!$H$2:$H$6,H402)</f>
        <v/>
      </c>
      <c r="Q402" s="3" t="inlineStr">
        <is>
          <t>V1.VIET.04</t>
        </is>
      </c>
      <c r="R402" s="3" t="inlineStr">
        <is>
          <t>TV.TUNGU</t>
        </is>
      </c>
    </row>
    <row r="403">
      <c r="A403" s="3" t="inlineStr">
        <is>
          <t>tv1-kntt-t10-q1</t>
        </is>
      </c>
      <c r="B403" s="3" t="inlineStr">
        <is>
          <t>Tiếng Việt</t>
        </is>
      </c>
      <c r="C403" s="3" t="inlineStr">
        <is>
          <t>Kết nối tri thức</t>
        </is>
      </c>
      <c r="D403" s="3" t="inlineStr">
        <is>
          <t>Tuần 10 (Bài 46–50)</t>
        </is>
      </c>
      <c r="E403" s="3" t="inlineStr">
        <is>
          <t>Phần 2. Vần (tuần 7–16)</t>
        </is>
      </c>
      <c r="F403" s="3" t="inlineStr">
        <is>
          <t>Tuần 10: ac, ăc, âc, oc, ôc, uc, ưc, at, ăt, ât, ot, ôt, ơt</t>
        </is>
      </c>
      <c r="G403" s="3" t="inlineStr">
        <is>
          <t>Chọn đáp án</t>
        </is>
      </c>
      <c r="H403" s="14" t="n">
        <v>1</v>
      </c>
      <c r="I403" s="3" t="inlineStr">
        <is>
          <t>Làm quen</t>
        </is>
      </c>
      <c r="J403" s="3" t="inlineStr">
        <is>
          <t>Tiếng 'cốc' có vần gì?</t>
        </is>
      </c>
      <c r="K403" s="3" t="inlineStr">
        <is>
          <t>A. ôc | B. oc | C. uc</t>
        </is>
      </c>
      <c r="L403" s="3" t="inlineStr">
        <is>
          <t>A</t>
        </is>
      </c>
      <c r="M403" s="3" t="inlineStr">
        <is>
          <t>'cốc' = c + ôc, dấu sắc.</t>
        </is>
      </c>
      <c r="N403" s="3" t="n"/>
      <c r="O403" s="14" t="n">
        <v>30</v>
      </c>
      <c r="P403" s="14">
        <f>INDEX(Khung_cap_do!$H$2:$H$6,H403)</f>
        <v/>
      </c>
      <c r="Q403" s="3" t="inlineStr">
        <is>
          <t>V1.AM.03</t>
        </is>
      </c>
      <c r="R403" s="3" t="inlineStr">
        <is>
          <t>TV.GHEPVAN</t>
        </is>
      </c>
    </row>
    <row r="404">
      <c r="A404" s="3" t="inlineStr">
        <is>
          <t>tv1-kntt-t10-q2</t>
        </is>
      </c>
      <c r="B404" s="3" t="inlineStr">
        <is>
          <t>Tiếng Việt</t>
        </is>
      </c>
      <c r="C404" s="3" t="inlineStr">
        <is>
          <t>Kết nối tri thức</t>
        </is>
      </c>
      <c r="D404" s="3" t="inlineStr">
        <is>
          <t>Tuần 10 (Bài 46–50)</t>
        </is>
      </c>
      <c r="E404" s="3" t="inlineStr">
        <is>
          <t>Phần 2. Vần (tuần 7–16)</t>
        </is>
      </c>
      <c r="F404" s="3" t="inlineStr">
        <is>
          <t>Tuần 10: ac, ăc, âc, oc, ôc, uc, ưc, at, ăt, ât, ot, ôt, ơt</t>
        </is>
      </c>
      <c r="G404" s="3" t="inlineStr">
        <is>
          <t>Chọn đáp án</t>
        </is>
      </c>
      <c r="H404" s="14" t="n">
        <v>2</v>
      </c>
      <c r="I404" s="3" t="inlineStr">
        <is>
          <t>Cơ bản</t>
        </is>
      </c>
      <c r="J404" s="3" t="inlineStr">
        <is>
          <t>Điền at, ăt hay ât: m... trời</t>
        </is>
      </c>
      <c r="K404" s="3" t="inlineStr">
        <is>
          <t>A. at | B. ăt | C. ât</t>
        </is>
      </c>
      <c r="L404" s="3" t="inlineStr">
        <is>
          <t>B</t>
        </is>
      </c>
      <c r="M404" s="3" t="inlineStr">
        <is>
          <t>mặt trời: vần ăt, dấu nặng.</t>
        </is>
      </c>
      <c r="N404" s="3" t="n"/>
      <c r="O404" s="14" t="n">
        <v>40</v>
      </c>
      <c r="P404" s="14">
        <f>INDEX(Khung_cap_do!$H$2:$H$6,H404)</f>
        <v/>
      </c>
      <c r="Q404" s="3" t="inlineStr">
        <is>
          <t>V1.AM.03</t>
        </is>
      </c>
      <c r="R404" s="3" t="inlineStr">
        <is>
          <t>TV.GHEPVAN</t>
        </is>
      </c>
    </row>
    <row r="405">
      <c r="A405" s="3" t="inlineStr">
        <is>
          <t>tv1-kntt-t10-q3</t>
        </is>
      </c>
      <c r="B405" s="3" t="inlineStr">
        <is>
          <t>Tiếng Việt</t>
        </is>
      </c>
      <c r="C405" s="3" t="inlineStr">
        <is>
          <t>Kết nối tri thức</t>
        </is>
      </c>
      <c r="D405" s="3" t="inlineStr">
        <is>
          <t>Tuần 10 (Bài 46–50)</t>
        </is>
      </c>
      <c r="E405" s="3" t="inlineStr">
        <is>
          <t>Phần 2. Vần (tuần 7–16)</t>
        </is>
      </c>
      <c r="F405" s="3" t="inlineStr">
        <is>
          <t>Tuần 10: ac, ăc, âc, oc, ôc, uc, ưc, at, ăt, ât, ot, ôt, ơt</t>
        </is>
      </c>
      <c r="G405" s="3" t="inlineStr">
        <is>
          <t>Chọn nhiều đáp án</t>
        </is>
      </c>
      <c r="H405" s="14" t="n">
        <v>2</v>
      </c>
      <c r="I405" s="3" t="inlineStr">
        <is>
          <t>Cơ bản</t>
        </is>
      </c>
      <c r="J405" s="3" t="inlineStr">
        <is>
          <t>Chọn TẤT CẢ các tiếng có vần ot</t>
        </is>
      </c>
      <c r="K405" s="3" t="inlineStr">
        <is>
          <t>A. ngọt | B. một | C. rót | D. vợt | E. hót</t>
        </is>
      </c>
      <c r="L405" s="3" t="inlineStr">
        <is>
          <t>A, C, E</t>
        </is>
      </c>
      <c r="M405" s="3" t="inlineStr">
        <is>
          <t>'ngọt', 'rót', 'hót' có ot; 'một' có ôt; 'vợt' có ơt.</t>
        </is>
      </c>
      <c r="N405" s="3" t="n"/>
      <c r="O405" s="14" t="n">
        <v>50</v>
      </c>
      <c r="P405" s="14">
        <f>INDEX(Khung_cap_do!$H$2:$H$6,H405)</f>
        <v/>
      </c>
      <c r="Q405" s="3" t="inlineStr">
        <is>
          <t>V1.AM.03</t>
        </is>
      </c>
      <c r="R405" s="3" t="inlineStr">
        <is>
          <t>TV.GHEPVAN</t>
        </is>
      </c>
    </row>
    <row r="406">
      <c r="A406" s="3" t="inlineStr">
        <is>
          <t>tv1-kntt-t10-q4</t>
        </is>
      </c>
      <c r="B406" s="3" t="inlineStr">
        <is>
          <t>Tiếng Việt</t>
        </is>
      </c>
      <c r="C406" s="3" t="inlineStr">
        <is>
          <t>Kết nối tri thức</t>
        </is>
      </c>
      <c r="D406" s="3" t="inlineStr">
        <is>
          <t>Tuần 10 (Bài 46–50)</t>
        </is>
      </c>
      <c r="E406" s="3" t="inlineStr">
        <is>
          <t>Phần 2. Vần (tuần 7–16)</t>
        </is>
      </c>
      <c r="F406" s="3" t="inlineStr">
        <is>
          <t>Tuần 10: ac, ăc, âc, oc, ôc, uc, ưc, at, ăt, ât, ot, ôt, ơt</t>
        </is>
      </c>
      <c r="G406" s="3" t="inlineStr">
        <is>
          <t>Ghép cặp</t>
        </is>
      </c>
      <c r="H406" s="14" t="n">
        <v>2</v>
      </c>
      <c r="I406" s="3" t="inlineStr">
        <is>
          <t>Cơ bản</t>
        </is>
      </c>
      <c r="J406" s="3" t="inlineStr">
        <is>
          <t>Ghép từ với hình đúng</t>
        </is>
      </c>
      <c r="K406" s="3" t="inlineStr">
        <is>
          <t>cúc ↔ ? / mực ↔ ? / vợt ↔ ?</t>
        </is>
      </c>
      <c r="L406" s="3" t="inlineStr">
        <is>
          <t>cúc – 🌼; mực – 🦑; vợt – 🏸</t>
        </is>
      </c>
      <c r="M406" s="3" t="inlineStr">
        <is>
          <t>hoa cúc, con mực, cái vợt.</t>
        </is>
      </c>
      <c r="N406" s="3" t="n"/>
      <c r="O406" s="14" t="n">
        <v>55</v>
      </c>
      <c r="P406" s="14">
        <f>INDEX(Khung_cap_do!$H$2:$H$6,H406)</f>
        <v/>
      </c>
      <c r="Q406" s="3" t="inlineStr">
        <is>
          <t>V1.DOC.05</t>
        </is>
      </c>
      <c r="R406" s="3" t="inlineStr">
        <is>
          <t>TV.NOITU</t>
        </is>
      </c>
    </row>
    <row r="407">
      <c r="A407" s="3" t="inlineStr">
        <is>
          <t>tv1-kntt-t10-q5</t>
        </is>
      </c>
      <c r="B407" s="3" t="inlineStr">
        <is>
          <t>Tiếng Việt</t>
        </is>
      </c>
      <c r="C407" s="3" t="inlineStr">
        <is>
          <t>Kết nối tri thức</t>
        </is>
      </c>
      <c r="D407" s="3" t="inlineStr">
        <is>
          <t>Tuần 10 (Bài 46–50)</t>
        </is>
      </c>
      <c r="E407" s="3" t="inlineStr">
        <is>
          <t>Phần 2. Vần (tuần 7–16)</t>
        </is>
      </c>
      <c r="F407" s="3" t="inlineStr">
        <is>
          <t>Tuần 10: ac, ăc, âc, oc, ôc, uc, ưc, at, ăt, ât, ot, ôt, ơt</t>
        </is>
      </c>
      <c r="G407" s="3" t="inlineStr">
        <is>
          <t>Điền đáp án</t>
        </is>
      </c>
      <c r="H407" s="14" t="n">
        <v>2</v>
      </c>
      <c r="I407" s="3" t="inlineStr">
        <is>
          <t>Cơ bản</t>
        </is>
      </c>
      <c r="J407" s="3" t="inlineStr">
        <is>
          <t>Ghép âm h với vần oc và dấu nặng. Được tiếng gì?</t>
        </is>
      </c>
      <c r="K407" s="3" t="inlineStr"/>
      <c r="L407" s="3" t="inlineStr">
        <is>
          <t>học</t>
        </is>
      </c>
      <c r="M407" s="3" t="inlineStr">
        <is>
          <t>h – oc – hoc – nặng – học.</t>
        </is>
      </c>
      <c r="N407" s="3" t="n"/>
      <c r="O407" s="14" t="n">
        <v>50</v>
      </c>
      <c r="P407" s="14">
        <f>INDEX(Khung_cap_do!$H$2:$H$6,H407)</f>
        <v/>
      </c>
      <c r="Q407" s="3" t="inlineStr">
        <is>
          <t>V1.DOC.01</t>
        </is>
      </c>
      <c r="R407" s="3" t="inlineStr">
        <is>
          <t>TV.GHEPVAN</t>
        </is>
      </c>
    </row>
    <row r="408">
      <c r="A408" s="3" t="inlineStr">
        <is>
          <t>tv1-kntt-t10-q6</t>
        </is>
      </c>
      <c r="B408" s="3" t="inlineStr">
        <is>
          <t>Tiếng Việt</t>
        </is>
      </c>
      <c r="C408" s="3" t="inlineStr">
        <is>
          <t>Kết nối tri thức</t>
        </is>
      </c>
      <c r="D408" s="3" t="inlineStr">
        <is>
          <t>Tuần 10 (Bài 46–50)</t>
        </is>
      </c>
      <c r="E408" s="3" t="inlineStr">
        <is>
          <t>Phần 2. Vần (tuần 7–16)</t>
        </is>
      </c>
      <c r="F408" s="3" t="inlineStr">
        <is>
          <t>Tuần 10: ac, ăc, âc, oc, ôc, uc, ưc, at, ăt, ât, ot, ôt, ơt</t>
        </is>
      </c>
      <c r="G408" s="3" t="inlineStr">
        <is>
          <t>Sắp xếp</t>
        </is>
      </c>
      <c r="H408" s="14" t="n">
        <v>2</v>
      </c>
      <c r="I408" s="3" t="inlineStr">
        <is>
          <t>Cơ bản</t>
        </is>
      </c>
      <c r="J408" s="3" t="inlineStr">
        <is>
          <t>Sắp xếp các tiếng thành câu</t>
        </is>
      </c>
      <c r="K408" s="3" t="inlineStr">
        <is>
          <t>Chị / Hà / hay / hát</t>
        </is>
      </c>
      <c r="L408" s="3" t="inlineStr">
        <is>
          <t>Chị → Hà → hát → hay</t>
        </is>
      </c>
      <c r="M408" s="3" t="inlineStr">
        <is>
          <t>Câu đúng: Chị Hà hát hay.</t>
        </is>
      </c>
      <c r="N408" s="3" t="n"/>
      <c r="O408" s="14" t="n">
        <v>55</v>
      </c>
      <c r="P408" s="14">
        <f>INDEX(Khung_cap_do!$H$2:$H$6,H408)</f>
        <v/>
      </c>
      <c r="Q408" s="3" t="inlineStr">
        <is>
          <t>V1.DOC.01</t>
        </is>
      </c>
      <c r="R408" s="3" t="inlineStr">
        <is>
          <t>TV.XEPCAU</t>
        </is>
      </c>
    </row>
    <row r="409">
      <c r="A409" s="3" t="inlineStr">
        <is>
          <t>tv1-kntt-t10-q7</t>
        </is>
      </c>
      <c r="B409" s="3" t="inlineStr">
        <is>
          <t>Tiếng Việt</t>
        </is>
      </c>
      <c r="C409" s="3" t="inlineStr">
        <is>
          <t>Kết nối tri thức</t>
        </is>
      </c>
      <c r="D409" s="3" t="inlineStr">
        <is>
          <t>Tuần 10 (Bài 46–50)</t>
        </is>
      </c>
      <c r="E409" s="3" t="inlineStr">
        <is>
          <t>Phần 2. Vần (tuần 7–16)</t>
        </is>
      </c>
      <c r="F409" s="3" t="inlineStr">
        <is>
          <t>Tuần 10: ac, ăc, âc, oc, ôc, uc, ưc, at, ăt, ât, ot, ôt, ơt</t>
        </is>
      </c>
      <c r="G409" s="3" t="inlineStr">
        <is>
          <t>Chọn đáp án</t>
        </is>
      </c>
      <c r="H409" s="14" t="n">
        <v>3</v>
      </c>
      <c r="I409" s="3" t="inlineStr">
        <is>
          <t>Vận dụng</t>
        </is>
      </c>
      <c r="J409" s="3" t="inlineStr">
        <is>
          <t>Đọc câu: 'Quả gấc chín đỏ. Mẹ đồ xôi gấc.' Mẹ nấu món gì?</t>
        </is>
      </c>
      <c r="K409" s="3" t="inlineStr">
        <is>
          <t>A. xôi gấc | B. cơm | C. chè</t>
        </is>
      </c>
      <c r="L409" s="3" t="inlineStr">
        <is>
          <t>A</t>
        </is>
      </c>
      <c r="M409" s="3" t="inlineStr">
        <is>
          <t>Mẹ đồ xôi gấc.</t>
        </is>
      </c>
      <c r="N409" s="3" t="inlineStr">
        <is>
          <t>Câu thứ hai nói mẹ làm gì: 'Mẹ đồ xôi gấc.' 'Đồ xôi' là nấu xôi. Vậy mẹ nấu xôi gấc.</t>
        </is>
      </c>
      <c r="O409" s="14" t="n">
        <v>50</v>
      </c>
      <c r="P409" s="14">
        <f>INDEX(Khung_cap_do!$H$2:$H$6,H409)</f>
        <v/>
      </c>
      <c r="Q409" s="3" t="inlineStr">
        <is>
          <t>V1.DOC.04</t>
        </is>
      </c>
      <c r="R409" s="3" t="inlineStr">
        <is>
          <t>TV.DOCHIEU</t>
        </is>
      </c>
    </row>
    <row r="410">
      <c r="A410" s="3" t="inlineStr">
        <is>
          <t>tv1-kntt-t10-q8</t>
        </is>
      </c>
      <c r="B410" s="3" t="inlineStr">
        <is>
          <t>Tiếng Việt</t>
        </is>
      </c>
      <c r="C410" s="3" t="inlineStr">
        <is>
          <t>Kết nối tri thức</t>
        </is>
      </c>
      <c r="D410" s="3" t="inlineStr">
        <is>
          <t>Tuần 10 (Bài 46–50)</t>
        </is>
      </c>
      <c r="E410" s="3" t="inlineStr">
        <is>
          <t>Phần 2. Vần (tuần 7–16)</t>
        </is>
      </c>
      <c r="F410" s="3" t="inlineStr">
        <is>
          <t>Tuần 10: ac, ăc, âc, oc, ôc, uc, ưc, at, ăt, ât, ot, ôt, ơt</t>
        </is>
      </c>
      <c r="G410" s="3" t="inlineStr">
        <is>
          <t>Đúng / Sai</t>
        </is>
      </c>
      <c r="H410" s="14" t="n">
        <v>1</v>
      </c>
      <c r="I410" s="3" t="inlineStr">
        <is>
          <t>Làm quen</t>
        </is>
      </c>
      <c r="J410" s="3" t="inlineStr">
        <is>
          <t>Tiếng 'đất' có vần ât. Đúng hay sai?</t>
        </is>
      </c>
      <c r="K410" s="3" t="inlineStr">
        <is>
          <t>A. Đúng | B. Sai</t>
        </is>
      </c>
      <c r="L410" s="3" t="inlineStr">
        <is>
          <t>A</t>
        </is>
      </c>
      <c r="M410" s="3" t="inlineStr">
        <is>
          <t>'đất' = đ + ât, dấu sắc.</t>
        </is>
      </c>
      <c r="N410" s="3" t="n"/>
      <c r="O410" s="14" t="n">
        <v>30</v>
      </c>
      <c r="P410" s="14">
        <f>INDEX(Khung_cap_do!$H$2:$H$6,H410)</f>
        <v/>
      </c>
      <c r="Q410" s="3" t="inlineStr">
        <is>
          <t>V1.AM.03</t>
        </is>
      </c>
      <c r="R410" s="3" t="inlineStr">
        <is>
          <t>TV.GHEPVAN</t>
        </is>
      </c>
    </row>
    <row r="411">
      <c r="A411" s="3" t="inlineStr">
        <is>
          <t>tv1-kntt-t10-q9</t>
        </is>
      </c>
      <c r="B411" s="3" t="inlineStr">
        <is>
          <t>Tiếng Việt</t>
        </is>
      </c>
      <c r="C411" s="3" t="inlineStr">
        <is>
          <t>Kết nối tri thức</t>
        </is>
      </c>
      <c r="D411" s="3" t="inlineStr">
        <is>
          <t>Tuần 10 (Bài 46–50)</t>
        </is>
      </c>
      <c r="E411" s="3" t="inlineStr">
        <is>
          <t>Phần 2. Vần (tuần 7–16)</t>
        </is>
      </c>
      <c r="F411" s="3" t="inlineStr">
        <is>
          <t>Tuần 10: ac, ăc, âc, oc, ôc, uc, ưc, at, ăt, ât, ot, ôt, ơt</t>
        </is>
      </c>
      <c r="G411" s="3" t="inlineStr">
        <is>
          <t>Chọn đáp án</t>
        </is>
      </c>
      <c r="H411" s="14" t="n">
        <v>2</v>
      </c>
      <c r="I411" s="3" t="inlineStr">
        <is>
          <t>Cơ bản</t>
        </is>
      </c>
      <c r="J411" s="3" t="inlineStr">
        <is>
          <t>Chọn tiếng chỉ vị của kẹo</t>
        </is>
      </c>
      <c r="K411" s="3" t="inlineStr">
        <is>
          <t>A. ngọt | B. cột | C. hát</t>
        </is>
      </c>
      <c r="L411" s="3" t="inlineStr">
        <is>
          <t>A</t>
        </is>
      </c>
      <c r="M411" s="3" t="inlineStr">
        <is>
          <t>Kẹo có vị ngọt.</t>
        </is>
      </c>
      <c r="N411" s="3" t="n"/>
      <c r="O411" s="14" t="n">
        <v>40</v>
      </c>
      <c r="P411" s="14">
        <f>INDEX(Khung_cap_do!$H$2:$H$6,H411)</f>
        <v/>
      </c>
      <c r="Q411" s="3" t="inlineStr">
        <is>
          <t>V1.VIET.04</t>
        </is>
      </c>
      <c r="R411" s="3" t="inlineStr">
        <is>
          <t>TV.TUNGU</t>
        </is>
      </c>
    </row>
    <row r="412">
      <c r="A412" s="3" t="inlineStr">
        <is>
          <t>tv1-kntt-t10-q10</t>
        </is>
      </c>
      <c r="B412" s="3" t="inlineStr">
        <is>
          <t>Tiếng Việt</t>
        </is>
      </c>
      <c r="C412" s="3" t="inlineStr">
        <is>
          <t>Kết nối tri thức</t>
        </is>
      </c>
      <c r="D412" s="3" t="inlineStr">
        <is>
          <t>Tuần 10 (Bài 46–50)</t>
        </is>
      </c>
      <c r="E412" s="3" t="inlineStr">
        <is>
          <t>Phần 2. Vần (tuần 7–16)</t>
        </is>
      </c>
      <c r="F412" s="3" t="inlineStr">
        <is>
          <t>Tuần 10: ac, ăc, âc, oc, ôc, uc, ưc, at, ăt, ât, ot, ôt, ơt</t>
        </is>
      </c>
      <c r="G412" s="3" t="inlineStr">
        <is>
          <t>Chọn đáp án</t>
        </is>
      </c>
      <c r="H412" s="14" t="n">
        <v>2</v>
      </c>
      <c r="I412" s="3" t="inlineStr">
        <is>
          <t>Cơ bản</t>
        </is>
      </c>
      <c r="J412" s="3" t="inlineStr">
        <is>
          <t>Điền oc hay ôc: con ... sên</t>
        </is>
      </c>
      <c r="K412" s="3" t="inlineStr">
        <is>
          <t>A. oc | B. ôc</t>
        </is>
      </c>
      <c r="L412" s="3" t="inlineStr">
        <is>
          <t>B</t>
        </is>
      </c>
      <c r="M412" s="3" t="inlineStr">
        <is>
          <t>con ốc sên: vần ôc.</t>
        </is>
      </c>
      <c r="N412" s="3" t="n"/>
      <c r="O412" s="14" t="n">
        <v>40</v>
      </c>
      <c r="P412" s="14">
        <f>INDEX(Khung_cap_do!$H$2:$H$6,H412)</f>
        <v/>
      </c>
      <c r="Q412" s="3" t="inlineStr">
        <is>
          <t>V1.AM.03</t>
        </is>
      </c>
      <c r="R412" s="3" t="inlineStr">
        <is>
          <t>TV.GHEPVAN</t>
        </is>
      </c>
    </row>
    <row r="413">
      <c r="A413" s="3" t="inlineStr">
        <is>
          <t>tv1-kntt-t11-q1</t>
        </is>
      </c>
      <c r="B413" s="3" t="inlineStr">
        <is>
          <t>Tiếng Việt</t>
        </is>
      </c>
      <c r="C413" s="3" t="inlineStr">
        <is>
          <t>Kết nối tri thức</t>
        </is>
      </c>
      <c r="D413" s="3" t="inlineStr">
        <is>
          <t>Tuần 11 (Bài 51–55)</t>
        </is>
      </c>
      <c r="E413" s="3" t="inlineStr">
        <is>
          <t>Phần 2. Vần (tuần 7–16)</t>
        </is>
      </c>
      <c r="F413" s="3" t="inlineStr">
        <is>
          <t>Tuần 11: et, êt, it, ut, ưt, ap, ăp, âp, op, ôp, ơp</t>
        </is>
      </c>
      <c r="G413" s="3" t="inlineStr">
        <is>
          <t>Chọn đáp án</t>
        </is>
      </c>
      <c r="H413" s="14" t="n">
        <v>1</v>
      </c>
      <c r="I413" s="3" t="inlineStr">
        <is>
          <t>Làm quen</t>
        </is>
      </c>
      <c r="J413" s="3" t="inlineStr">
        <is>
          <t>Tiếng 'bút' có vần gì?</t>
        </is>
      </c>
      <c r="K413" s="3" t="inlineStr">
        <is>
          <t>A. ut | B. ưt | C. uc</t>
        </is>
      </c>
      <c r="L413" s="3" t="inlineStr">
        <is>
          <t>A</t>
        </is>
      </c>
      <c r="M413" s="3" t="inlineStr">
        <is>
          <t>'bút' = b + ut.</t>
        </is>
      </c>
      <c r="N413" s="3" t="n"/>
      <c r="O413" s="14" t="n">
        <v>30</v>
      </c>
      <c r="P413" s="14">
        <f>INDEX(Khung_cap_do!$H$2:$H$6,H413)</f>
        <v/>
      </c>
      <c r="Q413" s="3" t="inlineStr">
        <is>
          <t>V1.AM.03</t>
        </is>
      </c>
      <c r="R413" s="3" t="inlineStr">
        <is>
          <t>TV.GHEPVAN</t>
        </is>
      </c>
    </row>
    <row r="414">
      <c r="A414" s="3" t="inlineStr">
        <is>
          <t>tv1-kntt-t11-q2</t>
        </is>
      </c>
      <c r="B414" s="3" t="inlineStr">
        <is>
          <t>Tiếng Việt</t>
        </is>
      </c>
      <c r="C414" s="3" t="inlineStr">
        <is>
          <t>Kết nối tri thức</t>
        </is>
      </c>
      <c r="D414" s="3" t="inlineStr">
        <is>
          <t>Tuần 11 (Bài 51–55)</t>
        </is>
      </c>
      <c r="E414" s="3" t="inlineStr">
        <is>
          <t>Phần 2. Vần (tuần 7–16)</t>
        </is>
      </c>
      <c r="F414" s="3" t="inlineStr">
        <is>
          <t>Tuần 11: et, êt, it, ut, ưt, ap, ăp, âp, op, ôp, ơp</t>
        </is>
      </c>
      <c r="G414" s="3" t="inlineStr">
        <is>
          <t>Chọn đáp án</t>
        </is>
      </c>
      <c r="H414" s="14" t="n">
        <v>2</v>
      </c>
      <c r="I414" s="3" t="inlineStr">
        <is>
          <t>Cơ bản</t>
        </is>
      </c>
      <c r="J414" s="3" t="inlineStr">
        <is>
          <t>Điền et hay êt: ngày T...</t>
        </is>
      </c>
      <c r="K414" s="3" t="inlineStr">
        <is>
          <t>A. et | B. êt | C. it</t>
        </is>
      </c>
      <c r="L414" s="3" t="inlineStr">
        <is>
          <t>B</t>
        </is>
      </c>
      <c r="M414" s="3" t="inlineStr">
        <is>
          <t>ngày Tết: vần êt.</t>
        </is>
      </c>
      <c r="N414" s="3" t="n"/>
      <c r="O414" s="14" t="n">
        <v>40</v>
      </c>
      <c r="P414" s="14">
        <f>INDEX(Khung_cap_do!$H$2:$H$6,H414)</f>
        <v/>
      </c>
      <c r="Q414" s="3" t="inlineStr">
        <is>
          <t>V1.AM.03</t>
        </is>
      </c>
      <c r="R414" s="3" t="inlineStr">
        <is>
          <t>TV.GHEPVAN</t>
        </is>
      </c>
    </row>
    <row r="415">
      <c r="A415" s="3" t="inlineStr">
        <is>
          <t>tv1-kntt-t11-q3</t>
        </is>
      </c>
      <c r="B415" s="3" t="inlineStr">
        <is>
          <t>Tiếng Việt</t>
        </is>
      </c>
      <c r="C415" s="3" t="inlineStr">
        <is>
          <t>Kết nối tri thức</t>
        </is>
      </c>
      <c r="D415" s="3" t="inlineStr">
        <is>
          <t>Tuần 11 (Bài 51–55)</t>
        </is>
      </c>
      <c r="E415" s="3" t="inlineStr">
        <is>
          <t>Phần 2. Vần (tuần 7–16)</t>
        </is>
      </c>
      <c r="F415" s="3" t="inlineStr">
        <is>
          <t>Tuần 11: et, êt, it, ut, ưt, ap, ăp, âp, op, ôp, ơp</t>
        </is>
      </c>
      <c r="G415" s="3" t="inlineStr">
        <is>
          <t>Chọn nhiều đáp án</t>
        </is>
      </c>
      <c r="H415" s="14" t="n">
        <v>2</v>
      </c>
      <c r="I415" s="3" t="inlineStr">
        <is>
          <t>Cơ bản</t>
        </is>
      </c>
      <c r="J415" s="3" t="inlineStr">
        <is>
          <t>Chọn TẤT CẢ các tiếng có vần ap</t>
        </is>
      </c>
      <c r="K415" s="3" t="inlineStr">
        <is>
          <t>A. đạp | B. tháp | C. cặp | D. sạp | E. lớp</t>
        </is>
      </c>
      <c r="L415" s="3" t="inlineStr">
        <is>
          <t>A, B, D</t>
        </is>
      </c>
      <c r="M415" s="3" t="inlineStr">
        <is>
          <t>'đạp', 'tháp', 'sạp' có ap; 'cặp' có ăp; 'lớp' có ơp.</t>
        </is>
      </c>
      <c r="N415" s="3" t="n"/>
      <c r="O415" s="14" t="n">
        <v>50</v>
      </c>
      <c r="P415" s="14">
        <f>INDEX(Khung_cap_do!$H$2:$H$6,H415)</f>
        <v/>
      </c>
      <c r="Q415" s="3" t="inlineStr">
        <is>
          <t>V1.AM.03</t>
        </is>
      </c>
      <c r="R415" s="3" t="inlineStr">
        <is>
          <t>TV.GHEPVAN</t>
        </is>
      </c>
    </row>
    <row r="416">
      <c r="A416" s="3" t="inlineStr">
        <is>
          <t>tv1-kntt-t11-q4</t>
        </is>
      </c>
      <c r="B416" s="3" t="inlineStr">
        <is>
          <t>Tiếng Việt</t>
        </is>
      </c>
      <c r="C416" s="3" t="inlineStr">
        <is>
          <t>Kết nối tri thức</t>
        </is>
      </c>
      <c r="D416" s="3" t="inlineStr">
        <is>
          <t>Tuần 11 (Bài 51–55)</t>
        </is>
      </c>
      <c r="E416" s="3" t="inlineStr">
        <is>
          <t>Phần 2. Vần (tuần 7–16)</t>
        </is>
      </c>
      <c r="F416" s="3" t="inlineStr">
        <is>
          <t>Tuần 11: et, êt, it, ut, ưt, ap, ăp, âp, op, ôp, ơp</t>
        </is>
      </c>
      <c r="G416" s="3" t="inlineStr">
        <is>
          <t>Ghép cặp</t>
        </is>
      </c>
      <c r="H416" s="14" t="n">
        <v>2</v>
      </c>
      <c r="I416" s="3" t="inlineStr">
        <is>
          <t>Cơ bản</t>
        </is>
      </c>
      <c r="J416" s="3" t="inlineStr">
        <is>
          <t>Ghép từ với hình đúng</t>
        </is>
      </c>
      <c r="K416" s="3" t="inlineStr">
        <is>
          <t>vẹt ↔ ? / mít ↔ ? / hộp quà ↔ ?</t>
        </is>
      </c>
      <c r="L416" s="3" t="inlineStr">
        <is>
          <t>vẹt – 🦜; mít – 🍈; hộp quà – 🎁</t>
        </is>
      </c>
      <c r="M416" s="3" t="inlineStr">
        <is>
          <t>con vẹt, quả mít, hộp quà.</t>
        </is>
      </c>
      <c r="N416" s="3" t="n"/>
      <c r="O416" s="14" t="n">
        <v>55</v>
      </c>
      <c r="P416" s="14">
        <f>INDEX(Khung_cap_do!$H$2:$H$6,H416)</f>
        <v/>
      </c>
      <c r="Q416" s="3" t="inlineStr">
        <is>
          <t>V1.DOC.05</t>
        </is>
      </c>
      <c r="R416" s="3" t="inlineStr">
        <is>
          <t>TV.NOITU</t>
        </is>
      </c>
    </row>
    <row r="417">
      <c r="A417" s="3" t="inlineStr">
        <is>
          <t>tv1-kntt-t11-q5</t>
        </is>
      </c>
      <c r="B417" s="3" t="inlineStr">
        <is>
          <t>Tiếng Việt</t>
        </is>
      </c>
      <c r="C417" s="3" t="inlineStr">
        <is>
          <t>Kết nối tri thức</t>
        </is>
      </c>
      <c r="D417" s="3" t="inlineStr">
        <is>
          <t>Tuần 11 (Bài 51–55)</t>
        </is>
      </c>
      <c r="E417" s="3" t="inlineStr">
        <is>
          <t>Phần 2. Vần (tuần 7–16)</t>
        </is>
      </c>
      <c r="F417" s="3" t="inlineStr">
        <is>
          <t>Tuần 11: et, êt, it, ut, ưt, ap, ăp, âp, op, ôp, ơp</t>
        </is>
      </c>
      <c r="G417" s="3" t="inlineStr">
        <is>
          <t>Điền đáp án</t>
        </is>
      </c>
      <c r="H417" s="14" t="n">
        <v>2</v>
      </c>
      <c r="I417" s="3" t="inlineStr">
        <is>
          <t>Cơ bản</t>
        </is>
      </c>
      <c r="J417" s="3" t="inlineStr">
        <is>
          <t>Ghép âm l với vần ơp và dấu sắc. Được tiếng gì?</t>
        </is>
      </c>
      <c r="K417" s="3" t="inlineStr"/>
      <c r="L417" s="3" t="inlineStr">
        <is>
          <t>lớp</t>
        </is>
      </c>
      <c r="M417" s="3" t="inlineStr">
        <is>
          <t>l – ơp – lơp – sắc – lớp.</t>
        </is>
      </c>
      <c r="N417" s="3" t="n"/>
      <c r="O417" s="14" t="n">
        <v>50</v>
      </c>
      <c r="P417" s="14">
        <f>INDEX(Khung_cap_do!$H$2:$H$6,H417)</f>
        <v/>
      </c>
      <c r="Q417" s="3" t="inlineStr">
        <is>
          <t>V1.DOC.01</t>
        </is>
      </c>
      <c r="R417" s="3" t="inlineStr">
        <is>
          <t>TV.GHEPVAN</t>
        </is>
      </c>
    </row>
    <row r="418">
      <c r="A418" s="3" t="inlineStr">
        <is>
          <t>tv1-kntt-t11-q6</t>
        </is>
      </c>
      <c r="B418" s="3" t="inlineStr">
        <is>
          <t>Tiếng Việt</t>
        </is>
      </c>
      <c r="C418" s="3" t="inlineStr">
        <is>
          <t>Kết nối tri thức</t>
        </is>
      </c>
      <c r="D418" s="3" t="inlineStr">
        <is>
          <t>Tuần 11 (Bài 51–55)</t>
        </is>
      </c>
      <c r="E418" s="3" t="inlineStr">
        <is>
          <t>Phần 2. Vần (tuần 7–16)</t>
        </is>
      </c>
      <c r="F418" s="3" t="inlineStr">
        <is>
          <t>Tuần 11: et, êt, it, ut, ưt, ap, ăp, âp, op, ôp, ơp</t>
        </is>
      </c>
      <c r="G418" s="3" t="inlineStr">
        <is>
          <t>Sắp xếp</t>
        </is>
      </c>
      <c r="H418" s="14" t="n">
        <v>3</v>
      </c>
      <c r="I418" s="3" t="inlineStr">
        <is>
          <t>Vận dụng</t>
        </is>
      </c>
      <c r="J418" s="3" t="inlineStr">
        <is>
          <t>Sắp xếp các tiếng thành câu</t>
        </is>
      </c>
      <c r="K418" s="3" t="inlineStr">
        <is>
          <t>Em / học / lớp / một / đi / ở</t>
        </is>
      </c>
      <c r="L418" s="3" t="inlineStr">
        <is>
          <t>Em → đi → học → ở → lớp → một</t>
        </is>
      </c>
      <c r="M418" s="3" t="inlineStr">
        <is>
          <t>Câu đúng: Em đi học ở lớp một.</t>
        </is>
      </c>
      <c r="N418" s="3" t="inlineStr">
        <is>
          <t>Câu bắt đầu bằng chữ viết hoa 'Em'. Tiếp theo là việc làm 'đi học', rồi nơi học 'ở lớp một'.</t>
        </is>
      </c>
      <c r="O418" s="14" t="n">
        <v>65</v>
      </c>
      <c r="P418" s="14">
        <f>INDEX(Khung_cap_do!$H$2:$H$6,H418)</f>
        <v/>
      </c>
      <c r="Q418" s="3" t="inlineStr">
        <is>
          <t>V1.DOC.01</t>
        </is>
      </c>
      <c r="R418" s="3" t="inlineStr">
        <is>
          <t>TV.XEPCAU</t>
        </is>
      </c>
    </row>
    <row r="419">
      <c r="A419" s="3" t="inlineStr">
        <is>
          <t>tv1-kntt-t11-q7</t>
        </is>
      </c>
      <c r="B419" s="3" t="inlineStr">
        <is>
          <t>Tiếng Việt</t>
        </is>
      </c>
      <c r="C419" s="3" t="inlineStr">
        <is>
          <t>Kết nối tri thức</t>
        </is>
      </c>
      <c r="D419" s="3" t="inlineStr">
        <is>
          <t>Tuần 11 (Bài 51–55)</t>
        </is>
      </c>
      <c r="E419" s="3" t="inlineStr">
        <is>
          <t>Phần 2. Vần (tuần 7–16)</t>
        </is>
      </c>
      <c r="F419" s="3" t="inlineStr">
        <is>
          <t>Tuần 11: et, êt, it, ut, ưt, ap, ăp, âp, op, ôp, ơp</t>
        </is>
      </c>
      <c r="G419" s="3" t="inlineStr">
        <is>
          <t>Chọn nhiều đáp án</t>
        </is>
      </c>
      <c r="H419" s="14" t="n">
        <v>3</v>
      </c>
      <c r="I419" s="3" t="inlineStr">
        <is>
          <t>Vận dụng</t>
        </is>
      </c>
      <c r="J419" s="3" t="inlineStr">
        <is>
          <t>Đọc câu: 'Tết đến, mẹ mua mứt và hộp kẹo.' Mẹ mua những gì?</t>
        </is>
      </c>
      <c r="K419" s="3" t="inlineStr">
        <is>
          <t>A. mứt | B. kẹo | C. bút | D. cặp</t>
        </is>
      </c>
      <c r="L419" s="3" t="inlineStr">
        <is>
          <t>A, B</t>
        </is>
      </c>
      <c r="M419" s="3" t="inlineStr">
        <is>
          <t>Mẹ mua mứt và kẹo.</t>
        </is>
      </c>
      <c r="N419" s="3" t="inlineStr">
        <is>
          <t>Tìm các tiếng đứng sau 'mua': 'mứt' và 'hộp kẹo'. Vậy mẹ mua mứt và kẹo.</t>
        </is>
      </c>
      <c r="O419" s="14" t="n">
        <v>60</v>
      </c>
      <c r="P419" s="14">
        <f>INDEX(Khung_cap_do!$H$2:$H$6,H419)</f>
        <v/>
      </c>
      <c r="Q419" s="3" t="inlineStr">
        <is>
          <t>V1.DOC.04</t>
        </is>
      </c>
      <c r="R419" s="3" t="inlineStr">
        <is>
          <t>TV.DOCHIEU</t>
        </is>
      </c>
    </row>
    <row r="420">
      <c r="A420" s="3" t="inlineStr">
        <is>
          <t>tv1-kntt-t11-q8</t>
        </is>
      </c>
      <c r="B420" s="3" t="inlineStr">
        <is>
          <t>Tiếng Việt</t>
        </is>
      </c>
      <c r="C420" s="3" t="inlineStr">
        <is>
          <t>Kết nối tri thức</t>
        </is>
      </c>
      <c r="D420" s="3" t="inlineStr">
        <is>
          <t>Tuần 11 (Bài 51–55)</t>
        </is>
      </c>
      <c r="E420" s="3" t="inlineStr">
        <is>
          <t>Phần 2. Vần (tuần 7–16)</t>
        </is>
      </c>
      <c r="F420" s="3" t="inlineStr">
        <is>
          <t>Tuần 11: et, êt, it, ut, ưt, ap, ăp, âp, op, ôp, ơp</t>
        </is>
      </c>
      <c r="G420" s="3" t="inlineStr">
        <is>
          <t>Đúng / Sai</t>
        </is>
      </c>
      <c r="H420" s="14" t="n">
        <v>1</v>
      </c>
      <c r="I420" s="3" t="inlineStr">
        <is>
          <t>Làm quen</t>
        </is>
      </c>
      <c r="J420" s="3" t="inlineStr">
        <is>
          <t>Tiếng 'cặp' có vần ăp. Đúng hay sai?</t>
        </is>
      </c>
      <c r="K420" s="3" t="inlineStr">
        <is>
          <t>A. Đúng | B. Sai</t>
        </is>
      </c>
      <c r="L420" s="3" t="inlineStr">
        <is>
          <t>A</t>
        </is>
      </c>
      <c r="M420" s="3" t="inlineStr">
        <is>
          <t>'cặp' = c + ăp, dấu nặng.</t>
        </is>
      </c>
      <c r="N420" s="3" t="n"/>
      <c r="O420" s="14" t="n">
        <v>30</v>
      </c>
      <c r="P420" s="14">
        <f>INDEX(Khung_cap_do!$H$2:$H$6,H420)</f>
        <v/>
      </c>
      <c r="Q420" s="3" t="inlineStr">
        <is>
          <t>V1.AM.03</t>
        </is>
      </c>
      <c r="R420" s="3" t="inlineStr">
        <is>
          <t>TV.GHEPVAN</t>
        </is>
      </c>
    </row>
    <row r="421">
      <c r="A421" s="3" t="inlineStr">
        <is>
          <t>tv1-kntt-t11-q9</t>
        </is>
      </c>
      <c r="B421" s="3" t="inlineStr">
        <is>
          <t>Tiếng Việt</t>
        </is>
      </c>
      <c r="C421" s="3" t="inlineStr">
        <is>
          <t>Kết nối tri thức</t>
        </is>
      </c>
      <c r="D421" s="3" t="inlineStr">
        <is>
          <t>Tuần 11 (Bài 51–55)</t>
        </is>
      </c>
      <c r="E421" s="3" t="inlineStr">
        <is>
          <t>Phần 2. Vần (tuần 7–16)</t>
        </is>
      </c>
      <c r="F421" s="3" t="inlineStr">
        <is>
          <t>Tuần 11: et, êt, it, ut, ưt, ap, ăp, âp, op, ôp, ơp</t>
        </is>
      </c>
      <c r="G421" s="3" t="inlineStr">
        <is>
          <t>Chọn đáp án</t>
        </is>
      </c>
      <c r="H421" s="14" t="n">
        <v>3</v>
      </c>
      <c r="I421" s="3" t="inlineStr">
        <is>
          <t>Vận dụng</t>
        </is>
      </c>
      <c r="J421" s="3" t="inlineStr">
        <is>
          <t>Con chim nào biết nói theo người?</t>
        </is>
      </c>
      <c r="K421" s="3" t="inlineStr">
        <is>
          <t>A. con vẹt | B. con cò | C. con sẻ</t>
        </is>
      </c>
      <c r="L421" s="3" t="inlineStr">
        <is>
          <t>A</t>
        </is>
      </c>
      <c r="M421" s="3" t="inlineStr">
        <is>
          <t>Con vẹt bắt chước được tiếng người.</t>
        </is>
      </c>
      <c r="N421" s="3" t="inlineStr">
        <is>
          <t>Vẹt là loài chim bắt chước được tiếng người. Cò và sẻ không làm được. Chọn 'con vẹt'.</t>
        </is>
      </c>
      <c r="O421" s="14" t="n">
        <v>50</v>
      </c>
      <c r="P421" s="14">
        <f>INDEX(Khung_cap_do!$H$2:$H$6,H421)</f>
        <v/>
      </c>
      <c r="Q421" s="3" t="inlineStr">
        <is>
          <t>V1.VIET.04</t>
        </is>
      </c>
      <c r="R421" s="3" t="inlineStr">
        <is>
          <t>TV.NOITU</t>
        </is>
      </c>
    </row>
    <row r="422">
      <c r="A422" s="3" t="inlineStr">
        <is>
          <t>tv1-kntt-t11-q10</t>
        </is>
      </c>
      <c r="B422" s="3" t="inlineStr">
        <is>
          <t>Tiếng Việt</t>
        </is>
      </c>
      <c r="C422" s="3" t="inlineStr">
        <is>
          <t>Kết nối tri thức</t>
        </is>
      </c>
      <c r="D422" s="3" t="inlineStr">
        <is>
          <t>Tuần 11 (Bài 51–55)</t>
        </is>
      </c>
      <c r="E422" s="3" t="inlineStr">
        <is>
          <t>Phần 2. Vần (tuần 7–16)</t>
        </is>
      </c>
      <c r="F422" s="3" t="inlineStr">
        <is>
          <t>Tuần 11: et, êt, it, ut, ưt, ap, ăp, âp, op, ôp, ơp</t>
        </is>
      </c>
      <c r="G422" s="3" t="inlineStr">
        <is>
          <t>Chọn đáp án</t>
        </is>
      </c>
      <c r="H422" s="14" t="n">
        <v>1</v>
      </c>
      <c r="I422" s="3" t="inlineStr">
        <is>
          <t>Làm quen</t>
        </is>
      </c>
      <c r="J422" s="3" t="inlineStr">
        <is>
          <t>Đồ dùng để viết là cái gì?</t>
        </is>
      </c>
      <c r="K422" s="3" t="inlineStr">
        <is>
          <t>A. cái bút | B. cái hộp | C. cái cặp</t>
        </is>
      </c>
      <c r="L422" s="3" t="inlineStr">
        <is>
          <t>A</t>
        </is>
      </c>
      <c r="M422" s="3" t="inlineStr">
        <is>
          <t>Cái bút dùng để viết.</t>
        </is>
      </c>
      <c r="N422" s="3" t="n"/>
      <c r="O422" s="14" t="n">
        <v>30</v>
      </c>
      <c r="P422" s="14">
        <f>INDEX(Khung_cap_do!$H$2:$H$6,H422)</f>
        <v/>
      </c>
      <c r="Q422" s="3" t="inlineStr">
        <is>
          <t>V1.VIET.04</t>
        </is>
      </c>
      <c r="R422" s="3" t="inlineStr">
        <is>
          <t>TV.TUNGU</t>
        </is>
      </c>
    </row>
    <row r="423">
      <c r="A423" s="3" t="inlineStr">
        <is>
          <t>tv1-kntt-t12-q1</t>
        </is>
      </c>
      <c r="B423" s="3" t="inlineStr">
        <is>
          <t>Tiếng Việt</t>
        </is>
      </c>
      <c r="C423" s="3" t="inlineStr">
        <is>
          <t>Kết nối tri thức</t>
        </is>
      </c>
      <c r="D423" s="3" t="inlineStr">
        <is>
          <t>Tuần 12 (Bài 56–60)</t>
        </is>
      </c>
      <c r="E423" s="3" t="inlineStr">
        <is>
          <t>Phần 2. Vần (tuần 7–16)</t>
        </is>
      </c>
      <c r="F423" s="3" t="inlineStr">
        <is>
          <t>Tuần 12: ep, êp, ip, up, anh, ênh, inh, ach, êch, ich, ang, ăng, âng</t>
        </is>
      </c>
      <c r="G423" s="3" t="inlineStr">
        <is>
          <t>Chọn đáp án</t>
        </is>
      </c>
      <c r="H423" s="14" t="n">
        <v>1</v>
      </c>
      <c r="I423" s="3" t="inlineStr">
        <is>
          <t>Làm quen</t>
        </is>
      </c>
      <c r="J423" s="3" t="inlineStr">
        <is>
          <t>Tiếng 'sách' có vần gì?</t>
        </is>
      </c>
      <c r="K423" s="3" t="inlineStr">
        <is>
          <t>A. ach | B. ich | C. anh</t>
        </is>
      </c>
      <c r="L423" s="3" t="inlineStr">
        <is>
          <t>A</t>
        </is>
      </c>
      <c r="M423" s="3" t="inlineStr">
        <is>
          <t>'sách' = s + ach.</t>
        </is>
      </c>
      <c r="N423" s="3" t="n"/>
      <c r="O423" s="14" t="n">
        <v>30</v>
      </c>
      <c r="P423" s="14">
        <f>INDEX(Khung_cap_do!$H$2:$H$6,H423)</f>
        <v/>
      </c>
      <c r="Q423" s="3" t="inlineStr">
        <is>
          <t>V1.AM.03</t>
        </is>
      </c>
      <c r="R423" s="3" t="inlineStr">
        <is>
          <t>TV.GHEPVAN</t>
        </is>
      </c>
    </row>
    <row r="424">
      <c r="A424" s="3" t="inlineStr">
        <is>
          <t>tv1-kntt-t12-q2</t>
        </is>
      </c>
      <c r="B424" s="3" t="inlineStr">
        <is>
          <t>Tiếng Việt</t>
        </is>
      </c>
      <c r="C424" s="3" t="inlineStr">
        <is>
          <t>Kết nối tri thức</t>
        </is>
      </c>
      <c r="D424" s="3" t="inlineStr">
        <is>
          <t>Tuần 12 (Bài 56–60)</t>
        </is>
      </c>
      <c r="E424" s="3" t="inlineStr">
        <is>
          <t>Phần 2. Vần (tuần 7–16)</t>
        </is>
      </c>
      <c r="F424" s="3" t="inlineStr">
        <is>
          <t>Tuần 12: ep, êp, ip, up, anh, ênh, inh, ach, êch, ich, ang, ăng, âng</t>
        </is>
      </c>
      <c r="G424" s="3" t="inlineStr">
        <is>
          <t>Chọn đáp án</t>
        </is>
      </c>
      <c r="H424" s="14" t="n">
        <v>2</v>
      </c>
      <c r="I424" s="3" t="inlineStr">
        <is>
          <t>Cơ bản</t>
        </is>
      </c>
      <c r="J424" s="3" t="inlineStr">
        <is>
          <t>Điền ang, ăng hay âng: v... trăng</t>
        </is>
      </c>
      <c r="K424" s="3" t="inlineStr">
        <is>
          <t>A. ang | B. ăng | C. âng</t>
        </is>
      </c>
      <c r="L424" s="3" t="inlineStr">
        <is>
          <t>C</t>
        </is>
      </c>
      <c r="M424" s="3" t="inlineStr">
        <is>
          <t>vầng trăng: vần âng.</t>
        </is>
      </c>
      <c r="N424" s="3" t="n"/>
      <c r="O424" s="14" t="n">
        <v>40</v>
      </c>
      <c r="P424" s="14">
        <f>INDEX(Khung_cap_do!$H$2:$H$6,H424)</f>
        <v/>
      </c>
      <c r="Q424" s="3" t="inlineStr">
        <is>
          <t>V1.AM.03</t>
        </is>
      </c>
      <c r="R424" s="3" t="inlineStr">
        <is>
          <t>TV.GHEPVAN</t>
        </is>
      </c>
    </row>
    <row r="425">
      <c r="A425" s="3" t="inlineStr">
        <is>
          <t>tv1-kntt-t12-q3</t>
        </is>
      </c>
      <c r="B425" s="3" t="inlineStr">
        <is>
          <t>Tiếng Việt</t>
        </is>
      </c>
      <c r="C425" s="3" t="inlineStr">
        <is>
          <t>Kết nối tri thức</t>
        </is>
      </c>
      <c r="D425" s="3" t="inlineStr">
        <is>
          <t>Tuần 12 (Bài 56–60)</t>
        </is>
      </c>
      <c r="E425" s="3" t="inlineStr">
        <is>
          <t>Phần 2. Vần (tuần 7–16)</t>
        </is>
      </c>
      <c r="F425" s="3" t="inlineStr">
        <is>
          <t>Tuần 12: ep, êp, ip, up, anh, ênh, inh, ach, êch, ich, ang, ăng, âng</t>
        </is>
      </c>
      <c r="G425" s="3" t="inlineStr">
        <is>
          <t>Chọn nhiều đáp án</t>
        </is>
      </c>
      <c r="H425" s="14" t="n">
        <v>2</v>
      </c>
      <c r="I425" s="3" t="inlineStr">
        <is>
          <t>Cơ bản</t>
        </is>
      </c>
      <c r="J425" s="3" t="inlineStr">
        <is>
          <t>Chọn TẤT CẢ các tiếng có vần inh</t>
        </is>
      </c>
      <c r="K425" s="3" t="inlineStr">
        <is>
          <t>A. kính | B. xinh | C. canh | D. bình | E. kênh</t>
        </is>
      </c>
      <c r="L425" s="3" t="inlineStr">
        <is>
          <t>A, B, D</t>
        </is>
      </c>
      <c r="M425" s="3" t="inlineStr">
        <is>
          <t>'kính', 'xinh', 'bình' có inh.</t>
        </is>
      </c>
      <c r="N425" s="3" t="n"/>
      <c r="O425" s="14" t="n">
        <v>50</v>
      </c>
      <c r="P425" s="14">
        <f>INDEX(Khung_cap_do!$H$2:$H$6,H425)</f>
        <v/>
      </c>
      <c r="Q425" s="3" t="inlineStr">
        <is>
          <t>V1.AM.03</t>
        </is>
      </c>
      <c r="R425" s="3" t="inlineStr">
        <is>
          <t>TV.GHEPVAN</t>
        </is>
      </c>
    </row>
    <row r="426">
      <c r="A426" s="3" t="inlineStr">
        <is>
          <t>tv1-kntt-t12-q4</t>
        </is>
      </c>
      <c r="B426" s="3" t="inlineStr">
        <is>
          <t>Tiếng Việt</t>
        </is>
      </c>
      <c r="C426" s="3" t="inlineStr">
        <is>
          <t>Kết nối tri thức</t>
        </is>
      </c>
      <c r="D426" s="3" t="inlineStr">
        <is>
          <t>Tuần 12 (Bài 56–60)</t>
        </is>
      </c>
      <c r="E426" s="3" t="inlineStr">
        <is>
          <t>Phần 2. Vần (tuần 7–16)</t>
        </is>
      </c>
      <c r="F426" s="3" t="inlineStr">
        <is>
          <t>Tuần 12: ep, êp, ip, up, anh, ênh, inh, ach, êch, ich, ang, ăng, âng</t>
        </is>
      </c>
      <c r="G426" s="3" t="inlineStr">
        <is>
          <t>Ghép cặp</t>
        </is>
      </c>
      <c r="H426" s="14" t="n">
        <v>2</v>
      </c>
      <c r="I426" s="3" t="inlineStr">
        <is>
          <t>Cơ bản</t>
        </is>
      </c>
      <c r="J426" s="3" t="inlineStr">
        <is>
          <t>Ghép từ với hình đúng</t>
        </is>
      </c>
      <c r="K426" s="3" t="inlineStr">
        <is>
          <t>ếch ↔ ? / dép ↔ ? / bánh ↔ ?</t>
        </is>
      </c>
      <c r="L426" s="3" t="inlineStr">
        <is>
          <t>ếch – 🐸; dép – 🩴; bánh – 🍰</t>
        </is>
      </c>
      <c r="M426" s="3" t="inlineStr">
        <is>
          <t>con ếch, đôi dép, cái bánh.</t>
        </is>
      </c>
      <c r="N426" s="3" t="n"/>
      <c r="O426" s="14" t="n">
        <v>55</v>
      </c>
      <c r="P426" s="14">
        <f>INDEX(Khung_cap_do!$H$2:$H$6,H426)</f>
        <v/>
      </c>
      <c r="Q426" s="3" t="inlineStr">
        <is>
          <t>V1.DOC.05</t>
        </is>
      </c>
      <c r="R426" s="3" t="inlineStr">
        <is>
          <t>TV.NOITU</t>
        </is>
      </c>
    </row>
    <row r="427">
      <c r="A427" s="3" t="inlineStr">
        <is>
          <t>tv1-kntt-t12-q5</t>
        </is>
      </c>
      <c r="B427" s="3" t="inlineStr">
        <is>
          <t>Tiếng Việt</t>
        </is>
      </c>
      <c r="C427" s="3" t="inlineStr">
        <is>
          <t>Kết nối tri thức</t>
        </is>
      </c>
      <c r="D427" s="3" t="inlineStr">
        <is>
          <t>Tuần 12 (Bài 56–60)</t>
        </is>
      </c>
      <c r="E427" s="3" t="inlineStr">
        <is>
          <t>Phần 2. Vần (tuần 7–16)</t>
        </is>
      </c>
      <c r="F427" s="3" t="inlineStr">
        <is>
          <t>Tuần 12: ep, êp, ip, up, anh, ênh, inh, ach, êch, ich, ang, ăng, âng</t>
        </is>
      </c>
      <c r="G427" s="3" t="inlineStr">
        <is>
          <t>Điền đáp án</t>
        </is>
      </c>
      <c r="H427" s="14" t="n">
        <v>2</v>
      </c>
      <c r="I427" s="3" t="inlineStr">
        <is>
          <t>Cơ bản</t>
        </is>
      </c>
      <c r="J427" s="3" t="inlineStr">
        <is>
          <t>Ghép âm b với vần êp và dấu sắc. Được tiếng gì?</t>
        </is>
      </c>
      <c r="K427" s="3" t="inlineStr"/>
      <c r="L427" s="3" t="inlineStr">
        <is>
          <t>bếp</t>
        </is>
      </c>
      <c r="M427" s="3" t="inlineStr">
        <is>
          <t>b – êp – bêp – sắc – bếp.</t>
        </is>
      </c>
      <c r="N427" s="3" t="n"/>
      <c r="O427" s="14" t="n">
        <v>50</v>
      </c>
      <c r="P427" s="14">
        <f>INDEX(Khung_cap_do!$H$2:$H$6,H427)</f>
        <v/>
      </c>
      <c r="Q427" s="3" t="inlineStr">
        <is>
          <t>V1.DOC.01</t>
        </is>
      </c>
      <c r="R427" s="3" t="inlineStr">
        <is>
          <t>TV.GHEPVAN</t>
        </is>
      </c>
    </row>
    <row r="428">
      <c r="A428" s="3" t="inlineStr">
        <is>
          <t>tv1-kntt-t12-q6</t>
        </is>
      </c>
      <c r="B428" s="3" t="inlineStr">
        <is>
          <t>Tiếng Việt</t>
        </is>
      </c>
      <c r="C428" s="3" t="inlineStr">
        <is>
          <t>Kết nối tri thức</t>
        </is>
      </c>
      <c r="D428" s="3" t="inlineStr">
        <is>
          <t>Tuần 12 (Bài 56–60)</t>
        </is>
      </c>
      <c r="E428" s="3" t="inlineStr">
        <is>
          <t>Phần 2. Vần (tuần 7–16)</t>
        </is>
      </c>
      <c r="F428" s="3" t="inlineStr">
        <is>
          <t>Tuần 12: ep, êp, ip, up, anh, ênh, inh, ach, êch, ich, ang, ăng, âng</t>
        </is>
      </c>
      <c r="G428" s="3" t="inlineStr">
        <is>
          <t>Sắp xếp</t>
        </is>
      </c>
      <c r="H428" s="14" t="n">
        <v>2</v>
      </c>
      <c r="I428" s="3" t="inlineStr">
        <is>
          <t>Cơ bản</t>
        </is>
      </c>
      <c r="J428" s="3" t="inlineStr">
        <is>
          <t>Sắp xếp các tiếng thành câu</t>
        </is>
      </c>
      <c r="K428" s="3" t="inlineStr">
        <is>
          <t>Bé / sách / tranh / đọc</t>
        </is>
      </c>
      <c r="L428" s="3" t="inlineStr">
        <is>
          <t>Bé → đọc → sách → tranh</t>
        </is>
      </c>
      <c r="M428" s="3" t="inlineStr">
        <is>
          <t>Câu đúng: Bé đọc sách tranh.</t>
        </is>
      </c>
      <c r="N428" s="3" t="n"/>
      <c r="O428" s="14" t="n">
        <v>55</v>
      </c>
      <c r="P428" s="14">
        <f>INDEX(Khung_cap_do!$H$2:$H$6,H428)</f>
        <v/>
      </c>
      <c r="Q428" s="3" t="inlineStr">
        <is>
          <t>V1.DOC.01</t>
        </is>
      </c>
      <c r="R428" s="3" t="inlineStr">
        <is>
          <t>TV.XEPCAU</t>
        </is>
      </c>
    </row>
    <row r="429">
      <c r="A429" s="3" t="inlineStr">
        <is>
          <t>tv1-kntt-t12-q7</t>
        </is>
      </c>
      <c r="B429" s="3" t="inlineStr">
        <is>
          <t>Tiếng Việt</t>
        </is>
      </c>
      <c r="C429" s="3" t="inlineStr">
        <is>
          <t>Kết nối tri thức</t>
        </is>
      </c>
      <c r="D429" s="3" t="inlineStr">
        <is>
          <t>Tuần 12 (Bài 56–60)</t>
        </is>
      </c>
      <c r="E429" s="3" t="inlineStr">
        <is>
          <t>Phần 2. Vần (tuần 7–16)</t>
        </is>
      </c>
      <c r="F429" s="3" t="inlineStr">
        <is>
          <t>Tuần 12: ep, êp, ip, up, anh, ênh, inh, ach, êch, ich, ang, ăng, âng</t>
        </is>
      </c>
      <c r="G429" s="3" t="inlineStr">
        <is>
          <t>Chọn đáp án</t>
        </is>
      </c>
      <c r="H429" s="14" t="n">
        <v>3</v>
      </c>
      <c r="I429" s="3" t="inlineStr">
        <is>
          <t>Vận dụng</t>
        </is>
      </c>
      <c r="J429" s="3" t="inlineStr">
        <is>
          <t>Đọc câu: 'Đêm rằm, trăng sáng. Bé ngắm trăng.' Trăng đêm rằm thế nào?</t>
        </is>
      </c>
      <c r="K429" s="3" t="inlineStr">
        <is>
          <t>A. sáng | B. tối | C. nhỏ</t>
        </is>
      </c>
      <c r="L429" s="3" t="inlineStr">
        <is>
          <t>A</t>
        </is>
      </c>
      <c r="M429" s="3" t="inlineStr">
        <is>
          <t>Câu nói "trăng sáng".</t>
        </is>
      </c>
      <c r="N429" s="3" t="inlineStr">
        <is>
          <t>Câu đầu: 'Đêm rằm, trăng sáng.' Tiếng 'sáng' nói về trăng.</t>
        </is>
      </c>
      <c r="O429" s="14" t="n">
        <v>60</v>
      </c>
      <c r="P429" s="14">
        <f>INDEX(Khung_cap_do!$H$2:$H$6,H429)</f>
        <v/>
      </c>
      <c r="Q429" s="3" t="inlineStr">
        <is>
          <t>V1.DOC.04</t>
        </is>
      </c>
      <c r="R429" s="3" t="inlineStr">
        <is>
          <t>TV.DOCHIEU</t>
        </is>
      </c>
    </row>
    <row r="430">
      <c r="A430" s="3" t="inlineStr">
        <is>
          <t>tv1-kntt-t12-q8</t>
        </is>
      </c>
      <c r="B430" s="3" t="inlineStr">
        <is>
          <t>Tiếng Việt</t>
        </is>
      </c>
      <c r="C430" s="3" t="inlineStr">
        <is>
          <t>Kết nối tri thức</t>
        </is>
      </c>
      <c r="D430" s="3" t="inlineStr">
        <is>
          <t>Tuần 12 (Bài 56–60)</t>
        </is>
      </c>
      <c r="E430" s="3" t="inlineStr">
        <is>
          <t>Phần 2. Vần (tuần 7–16)</t>
        </is>
      </c>
      <c r="F430" s="3" t="inlineStr">
        <is>
          <t>Tuần 12: ep, êp, ip, up, anh, ênh, inh, ach, êch, ich, ang, ăng, âng</t>
        </is>
      </c>
      <c r="G430" s="3" t="inlineStr">
        <is>
          <t>Đúng / Sai</t>
        </is>
      </c>
      <c r="H430" s="14" t="n">
        <v>1</v>
      </c>
      <c r="I430" s="3" t="inlineStr">
        <is>
          <t>Làm quen</t>
        </is>
      </c>
      <c r="J430" s="3" t="inlineStr">
        <is>
          <t>Tiếng 'búp' có vần up. Đúng hay sai?</t>
        </is>
      </c>
      <c r="K430" s="3" t="inlineStr">
        <is>
          <t>A. Đúng | B. Sai</t>
        </is>
      </c>
      <c r="L430" s="3" t="inlineStr">
        <is>
          <t>A</t>
        </is>
      </c>
      <c r="M430" s="3" t="inlineStr">
        <is>
          <t>'búp' = b + up.</t>
        </is>
      </c>
      <c r="N430" s="3" t="n"/>
      <c r="O430" s="14" t="n">
        <v>30</v>
      </c>
      <c r="P430" s="14">
        <f>INDEX(Khung_cap_do!$H$2:$H$6,H430)</f>
        <v/>
      </c>
      <c r="Q430" s="3" t="inlineStr">
        <is>
          <t>V1.AM.03</t>
        </is>
      </c>
      <c r="R430" s="3" t="inlineStr">
        <is>
          <t>TV.GHEPVAN</t>
        </is>
      </c>
    </row>
    <row r="431">
      <c r="A431" s="3" t="inlineStr">
        <is>
          <t>tv1-kntt-t12-q9</t>
        </is>
      </c>
      <c r="B431" s="3" t="inlineStr">
        <is>
          <t>Tiếng Việt</t>
        </is>
      </c>
      <c r="C431" s="3" t="inlineStr">
        <is>
          <t>Kết nối tri thức</t>
        </is>
      </c>
      <c r="D431" s="3" t="inlineStr">
        <is>
          <t>Tuần 12 (Bài 56–60)</t>
        </is>
      </c>
      <c r="E431" s="3" t="inlineStr">
        <is>
          <t>Phần 2. Vần (tuần 7–16)</t>
        </is>
      </c>
      <c r="F431" s="3" t="inlineStr">
        <is>
          <t>Tuần 12: ep, êp, ip, up, anh, ênh, inh, ach, êch, ich, ang, ăng, âng</t>
        </is>
      </c>
      <c r="G431" s="3" t="inlineStr">
        <is>
          <t>Chọn đáp án</t>
        </is>
      </c>
      <c r="H431" s="14" t="n">
        <v>1</v>
      </c>
      <c r="I431" s="3" t="inlineStr">
        <is>
          <t>Làm quen</t>
        </is>
      </c>
      <c r="J431" s="3" t="inlineStr">
        <is>
          <t>Con gì kêu 'ộp ộp'?</t>
        </is>
      </c>
      <c r="K431" s="3" t="inlineStr">
        <is>
          <t>A. con ếch | B. con mèo | C. con dê</t>
        </is>
      </c>
      <c r="L431" s="3" t="inlineStr">
        <is>
          <t>A</t>
        </is>
      </c>
      <c r="M431" s="3" t="inlineStr">
        <is>
          <t>Con ếch kêu ộp ộp.</t>
        </is>
      </c>
      <c r="N431" s="3" t="n"/>
      <c r="O431" s="14" t="n">
        <v>30</v>
      </c>
      <c r="P431" s="14">
        <f>INDEX(Khung_cap_do!$H$2:$H$6,H431)</f>
        <v/>
      </c>
      <c r="Q431" s="3" t="inlineStr">
        <is>
          <t>V1.VIET.04</t>
        </is>
      </c>
      <c r="R431" s="3" t="inlineStr">
        <is>
          <t>TV.NOITU</t>
        </is>
      </c>
    </row>
    <row r="432">
      <c r="A432" s="3" t="inlineStr">
        <is>
          <t>tv1-kntt-t12-q10</t>
        </is>
      </c>
      <c r="B432" s="3" t="inlineStr">
        <is>
          <t>Tiếng Việt</t>
        </is>
      </c>
      <c r="C432" s="3" t="inlineStr">
        <is>
          <t>Kết nối tri thức</t>
        </is>
      </c>
      <c r="D432" s="3" t="inlineStr">
        <is>
          <t>Tuần 12 (Bài 56–60)</t>
        </is>
      </c>
      <c r="E432" s="3" t="inlineStr">
        <is>
          <t>Phần 2. Vần (tuần 7–16)</t>
        </is>
      </c>
      <c r="F432" s="3" t="inlineStr">
        <is>
          <t>Tuần 12: ep, êp, ip, up, anh, ênh, inh, ach, êch, ich, ang, ăng, âng</t>
        </is>
      </c>
      <c r="G432" s="3" t="inlineStr">
        <is>
          <t>Chọn đáp án</t>
        </is>
      </c>
      <c r="H432" s="14" t="n">
        <v>2</v>
      </c>
      <c r="I432" s="3" t="inlineStr">
        <is>
          <t>Cơ bản</t>
        </is>
      </c>
      <c r="J432" s="3" t="inlineStr">
        <is>
          <t>Điền ich hay êch: tờ l...</t>
        </is>
      </c>
      <c r="K432" s="3" t="inlineStr">
        <is>
          <t>A. ich | B. êch | C. ach</t>
        </is>
      </c>
      <c r="L432" s="3" t="inlineStr">
        <is>
          <t>A</t>
        </is>
      </c>
      <c r="M432" s="3" t="inlineStr">
        <is>
          <t>tờ lịch: vần ich.</t>
        </is>
      </c>
      <c r="N432" s="3" t="n"/>
      <c r="O432" s="14" t="n">
        <v>40</v>
      </c>
      <c r="P432" s="14">
        <f>INDEX(Khung_cap_do!$H$2:$H$6,H432)</f>
        <v/>
      </c>
      <c r="Q432" s="3" t="inlineStr">
        <is>
          <t>V1.AM.03</t>
        </is>
      </c>
      <c r="R432" s="3" t="inlineStr">
        <is>
          <t>TV.GHEPVAN</t>
        </is>
      </c>
    </row>
    <row r="433">
      <c r="A433" s="3" t="inlineStr">
        <is>
          <t>tv1-kntt-t13-q1</t>
        </is>
      </c>
      <c r="B433" s="3" t="inlineStr">
        <is>
          <t>Tiếng Việt</t>
        </is>
      </c>
      <c r="C433" s="3" t="inlineStr">
        <is>
          <t>Kết nối tri thức</t>
        </is>
      </c>
      <c r="D433" s="3" t="inlineStr">
        <is>
          <t>Tuần 13 (Bài 61–65)</t>
        </is>
      </c>
      <c r="E433" s="3" t="inlineStr">
        <is>
          <t>Phần 2. Vần (tuần 7–16)</t>
        </is>
      </c>
      <c r="F433" s="3" t="inlineStr">
        <is>
          <t>Tuần 13: ong, ông, ung, ưng, iêc, iên, iêp, iêng, iêm, yên, iêt, iêu, yêu</t>
        </is>
      </c>
      <c r="G433" s="3" t="inlineStr">
        <is>
          <t>Chọn đáp án</t>
        </is>
      </c>
      <c r="H433" s="14" t="n">
        <v>1</v>
      </c>
      <c r="I433" s="3" t="inlineStr">
        <is>
          <t>Làm quen</t>
        </is>
      </c>
      <c r="J433" s="3" t="inlineStr">
        <is>
          <t>Tiếng 'diều' có vần gì?</t>
        </is>
      </c>
      <c r="K433" s="3" t="inlineStr">
        <is>
          <t>A. iêu | B. yêu | C. iu</t>
        </is>
      </c>
      <c r="L433" s="3" t="inlineStr">
        <is>
          <t>A</t>
        </is>
      </c>
      <c r="M433" s="3" t="inlineStr">
        <is>
          <t>'diều' = d + iêu.</t>
        </is>
      </c>
      <c r="N433" s="3" t="n"/>
      <c r="O433" s="14" t="n">
        <v>30</v>
      </c>
      <c r="P433" s="14">
        <f>INDEX(Khung_cap_do!$H$2:$H$6,H433)</f>
        <v/>
      </c>
      <c r="Q433" s="3" t="inlineStr">
        <is>
          <t>V1.AM.03</t>
        </is>
      </c>
      <c r="R433" s="3" t="inlineStr">
        <is>
          <t>TV.GHEPVAN</t>
        </is>
      </c>
    </row>
    <row r="434">
      <c r="A434" s="3" t="inlineStr">
        <is>
          <t>tv1-kntt-t13-q2</t>
        </is>
      </c>
      <c r="B434" s="3" t="inlineStr">
        <is>
          <t>Tiếng Việt</t>
        </is>
      </c>
      <c r="C434" s="3" t="inlineStr">
        <is>
          <t>Kết nối tri thức</t>
        </is>
      </c>
      <c r="D434" s="3" t="inlineStr">
        <is>
          <t>Tuần 13 (Bài 61–65)</t>
        </is>
      </c>
      <c r="E434" s="3" t="inlineStr">
        <is>
          <t>Phần 2. Vần (tuần 7–16)</t>
        </is>
      </c>
      <c r="F434" s="3" t="inlineStr">
        <is>
          <t>Tuần 13: ong, ông, ung, ưng, iêc, iên, iêp, iêng, iêm, yên, iêt, iêu, yêu</t>
        </is>
      </c>
      <c r="G434" s="3" t="inlineStr">
        <is>
          <t>Chọn đáp án</t>
        </is>
      </c>
      <c r="H434" s="14" t="n">
        <v>2</v>
      </c>
      <c r="I434" s="3" t="inlineStr">
        <is>
          <t>Cơ bản</t>
        </is>
      </c>
      <c r="J434" s="3" t="inlineStr">
        <is>
          <t>Điền iên hay yên: ... xe đạp (cái yên xe)</t>
        </is>
      </c>
      <c r="K434" s="3" t="inlineStr">
        <is>
          <t>A. iên | B. yên</t>
        </is>
      </c>
      <c r="L434" s="3" t="inlineStr">
        <is>
          <t>B</t>
        </is>
      </c>
      <c r="M434" s="3" t="inlineStr">
        <is>
          <t>Tiếng không có âm đầu thì viết yên.</t>
        </is>
      </c>
      <c r="N434" s="3" t="inlineStr">
        <is>
          <t>Khi có âm đầu ta viết iê (tiên, kiến). Khi KHÔNG có âm đầu ta viết yê (yên, yêu). "Yên xe" không có âm đầu nên viết yên.</t>
        </is>
      </c>
      <c r="O434" s="14" t="n">
        <v>40</v>
      </c>
      <c r="P434" s="14">
        <f>INDEX(Khung_cap_do!$H$2:$H$6,H434)</f>
        <v/>
      </c>
      <c r="Q434" s="3" t="inlineStr">
        <is>
          <t>V1.AM.04</t>
        </is>
      </c>
      <c r="R434" s="3" t="inlineStr">
        <is>
          <t>TV.CHINHTA</t>
        </is>
      </c>
    </row>
    <row r="435">
      <c r="A435" s="3" t="inlineStr">
        <is>
          <t>tv1-kntt-t13-q3</t>
        </is>
      </c>
      <c r="B435" s="3" t="inlineStr">
        <is>
          <t>Tiếng Việt</t>
        </is>
      </c>
      <c r="C435" s="3" t="inlineStr">
        <is>
          <t>Kết nối tri thức</t>
        </is>
      </c>
      <c r="D435" s="3" t="inlineStr">
        <is>
          <t>Tuần 13 (Bài 61–65)</t>
        </is>
      </c>
      <c r="E435" s="3" t="inlineStr">
        <is>
          <t>Phần 2. Vần (tuần 7–16)</t>
        </is>
      </c>
      <c r="F435" s="3" t="inlineStr">
        <is>
          <t>Tuần 13: ong, ông, ung, ưng, iêc, iên, iêp, iêng, iêm, yên, iêt, iêu, yêu</t>
        </is>
      </c>
      <c r="G435" s="3" t="inlineStr">
        <is>
          <t>Chọn nhiều đáp án</t>
        </is>
      </c>
      <c r="H435" s="14" t="n">
        <v>2</v>
      </c>
      <c r="I435" s="3" t="inlineStr">
        <is>
          <t>Cơ bản</t>
        </is>
      </c>
      <c r="J435" s="3" t="inlineStr">
        <is>
          <t>Chọn TẤT CẢ các tiếng có vần ong</t>
        </is>
      </c>
      <c r="K435" s="3" t="inlineStr">
        <is>
          <t>A. bóng | B. ông | C. trong | D. sung | E. cong</t>
        </is>
      </c>
      <c r="L435" s="3" t="inlineStr">
        <is>
          <t>A, C, E</t>
        </is>
      </c>
      <c r="M435" s="3" t="inlineStr">
        <is>
          <t>'bóng', 'trong', 'cong' có ong; 'ông' có ông; 'sung' có ung.</t>
        </is>
      </c>
      <c r="N435" s="3" t="n"/>
      <c r="O435" s="14" t="n">
        <v>50</v>
      </c>
      <c r="P435" s="14">
        <f>INDEX(Khung_cap_do!$H$2:$H$6,H435)</f>
        <v/>
      </c>
      <c r="Q435" s="3" t="inlineStr">
        <is>
          <t>V1.AM.03</t>
        </is>
      </c>
      <c r="R435" s="3" t="inlineStr">
        <is>
          <t>TV.GHEPVAN</t>
        </is>
      </c>
    </row>
    <row r="436">
      <c r="A436" s="3" t="inlineStr">
        <is>
          <t>tv1-kntt-t13-q4</t>
        </is>
      </c>
      <c r="B436" s="3" t="inlineStr">
        <is>
          <t>Tiếng Việt</t>
        </is>
      </c>
      <c r="C436" s="3" t="inlineStr">
        <is>
          <t>Kết nối tri thức</t>
        </is>
      </c>
      <c r="D436" s="3" t="inlineStr">
        <is>
          <t>Tuần 13 (Bài 61–65)</t>
        </is>
      </c>
      <c r="E436" s="3" t="inlineStr">
        <is>
          <t>Phần 2. Vần (tuần 7–16)</t>
        </is>
      </c>
      <c r="F436" s="3" t="inlineStr">
        <is>
          <t>Tuần 13: ong, ông, ung, ưng, iêc, iên, iêp, iêng, iêm, yên, iêt, iêu, yêu</t>
        </is>
      </c>
      <c r="G436" s="3" t="inlineStr">
        <is>
          <t>Ghép cặp</t>
        </is>
      </c>
      <c r="H436" s="14" t="n">
        <v>2</v>
      </c>
      <c r="I436" s="3" t="inlineStr">
        <is>
          <t>Cơ bản</t>
        </is>
      </c>
      <c r="J436" s="3" t="inlineStr">
        <is>
          <t>Ghép từ với hình đúng</t>
        </is>
      </c>
      <c r="K436" s="3" t="inlineStr">
        <is>
          <t>diều ↔ ? / ông ↔ ? / bóng ↔ ?</t>
        </is>
      </c>
      <c r="L436" s="3" t="inlineStr">
        <is>
          <t>diều – 🪁; ông – 👴; bóng – ⚽</t>
        </is>
      </c>
      <c r="M436" s="3" t="inlineStr">
        <is>
          <t>cánh diều, ông, quả bóng.</t>
        </is>
      </c>
      <c r="N436" s="3" t="n"/>
      <c r="O436" s="14" t="n">
        <v>55</v>
      </c>
      <c r="P436" s="14">
        <f>INDEX(Khung_cap_do!$H$2:$H$6,H436)</f>
        <v/>
      </c>
      <c r="Q436" s="3" t="inlineStr">
        <is>
          <t>V1.DOC.05</t>
        </is>
      </c>
      <c r="R436" s="3" t="inlineStr">
        <is>
          <t>TV.NOITU</t>
        </is>
      </c>
    </row>
    <row r="437">
      <c r="A437" s="3" t="inlineStr">
        <is>
          <t>tv1-kntt-t13-q5</t>
        </is>
      </c>
      <c r="B437" s="3" t="inlineStr">
        <is>
          <t>Tiếng Việt</t>
        </is>
      </c>
      <c r="C437" s="3" t="inlineStr">
        <is>
          <t>Kết nối tri thức</t>
        </is>
      </c>
      <c r="D437" s="3" t="inlineStr">
        <is>
          <t>Tuần 13 (Bài 61–65)</t>
        </is>
      </c>
      <c r="E437" s="3" t="inlineStr">
        <is>
          <t>Phần 2. Vần (tuần 7–16)</t>
        </is>
      </c>
      <c r="F437" s="3" t="inlineStr">
        <is>
          <t>Tuần 13: ong, ông, ung, ưng, iêc, iên, iêp, iêng, iêm, yên, iêt, iêu, yêu</t>
        </is>
      </c>
      <c r="G437" s="3" t="inlineStr">
        <is>
          <t>Điền đáp án</t>
        </is>
      </c>
      <c r="H437" s="14" t="n">
        <v>2</v>
      </c>
      <c r="I437" s="3" t="inlineStr">
        <is>
          <t>Cơ bản</t>
        </is>
      </c>
      <c r="J437" s="3" t="inlineStr">
        <is>
          <t>Ghép âm t với vần iên. Được tiếng gì?</t>
        </is>
      </c>
      <c r="K437" s="3" t="inlineStr"/>
      <c r="L437" s="3" t="inlineStr">
        <is>
          <t>tiên</t>
        </is>
      </c>
      <c r="M437" s="3" t="inlineStr">
        <is>
          <t>t – iên – tiên.</t>
        </is>
      </c>
      <c r="N437" s="3" t="n"/>
      <c r="O437" s="14" t="n">
        <v>50</v>
      </c>
      <c r="P437" s="14">
        <f>INDEX(Khung_cap_do!$H$2:$H$6,H437)</f>
        <v/>
      </c>
      <c r="Q437" s="3" t="inlineStr">
        <is>
          <t>V1.DOC.01</t>
        </is>
      </c>
      <c r="R437" s="3" t="inlineStr">
        <is>
          <t>TV.GHEPVAN</t>
        </is>
      </c>
    </row>
    <row r="438">
      <c r="A438" s="3" t="inlineStr">
        <is>
          <t>tv1-kntt-t13-q6</t>
        </is>
      </c>
      <c r="B438" s="3" t="inlineStr">
        <is>
          <t>Tiếng Việt</t>
        </is>
      </c>
      <c r="C438" s="3" t="inlineStr">
        <is>
          <t>Kết nối tri thức</t>
        </is>
      </c>
      <c r="D438" s="3" t="inlineStr">
        <is>
          <t>Tuần 13 (Bài 61–65)</t>
        </is>
      </c>
      <c r="E438" s="3" t="inlineStr">
        <is>
          <t>Phần 2. Vần (tuần 7–16)</t>
        </is>
      </c>
      <c r="F438" s="3" t="inlineStr">
        <is>
          <t>Tuần 13: ong, ông, ung, ưng, iêc, iên, iêp, iêng, iêm, yên, iêt, iêu, yêu</t>
        </is>
      </c>
      <c r="G438" s="3" t="inlineStr">
        <is>
          <t>Sắp xếp</t>
        </is>
      </c>
      <c r="H438" s="14" t="n">
        <v>2</v>
      </c>
      <c r="I438" s="3" t="inlineStr">
        <is>
          <t>Cơ bản</t>
        </is>
      </c>
      <c r="J438" s="3" t="inlineStr">
        <is>
          <t>Sắp xếp các tiếng thành câu</t>
        </is>
      </c>
      <c r="K438" s="3" t="inlineStr">
        <is>
          <t>Em / bà / yêu / ông</t>
        </is>
      </c>
      <c r="L438" s="3" t="inlineStr">
        <is>
          <t>Em → yêu → ông → bà</t>
        </is>
      </c>
      <c r="M438" s="3" t="inlineStr">
        <is>
          <t>Câu đúng: Em yêu ông bà.</t>
        </is>
      </c>
      <c r="N438" s="3" t="n"/>
      <c r="O438" s="14" t="n">
        <v>55</v>
      </c>
      <c r="P438" s="14">
        <f>INDEX(Khung_cap_do!$H$2:$H$6,H438)</f>
        <v/>
      </c>
      <c r="Q438" s="3" t="inlineStr">
        <is>
          <t>V1.DOC.01</t>
        </is>
      </c>
      <c r="R438" s="3" t="inlineStr">
        <is>
          <t>TV.XEPCAU</t>
        </is>
      </c>
    </row>
    <row r="439">
      <c r="A439" s="3" t="inlineStr">
        <is>
          <t>tv1-kntt-t13-q7</t>
        </is>
      </c>
      <c r="B439" s="3" t="inlineStr">
        <is>
          <t>Tiếng Việt</t>
        </is>
      </c>
      <c r="C439" s="3" t="inlineStr">
        <is>
          <t>Kết nối tri thức</t>
        </is>
      </c>
      <c r="D439" s="3" t="inlineStr">
        <is>
          <t>Tuần 13 (Bài 61–65)</t>
        </is>
      </c>
      <c r="E439" s="3" t="inlineStr">
        <is>
          <t>Phần 2. Vần (tuần 7–16)</t>
        </is>
      </c>
      <c r="F439" s="3" t="inlineStr">
        <is>
          <t>Tuần 13: ong, ông, ung, ưng, iêc, iên, iêp, iêng, iêm, yên, iêt, iêu, yêu</t>
        </is>
      </c>
      <c r="G439" s="3" t="inlineStr">
        <is>
          <t>Chọn đáp án</t>
        </is>
      </c>
      <c r="H439" s="14" t="n">
        <v>3</v>
      </c>
      <c r="I439" s="3" t="inlineStr">
        <is>
          <t>Vận dụng</t>
        </is>
      </c>
      <c r="J439" s="3" t="inlineStr">
        <is>
          <t>Đọc câu: 'Chủ nhật, bố đưa bé đi xem xiếc.' Bé đi xem gì?</t>
        </is>
      </c>
      <c r="K439" s="3" t="inlineStr">
        <is>
          <t>A. xiếc | B. phim | C. bóng</t>
        </is>
      </c>
      <c r="L439" s="3" t="inlineStr">
        <is>
          <t>A</t>
        </is>
      </c>
      <c r="M439" s="3" t="inlineStr">
        <is>
          <t>Bé đi xem xiếc.</t>
        </is>
      </c>
      <c r="N439" s="3" t="inlineStr">
        <is>
          <t>Tìm tiếng đứng sau 'đi xem': 'xiếc'. Vậy bé đi xem xiếc.</t>
        </is>
      </c>
      <c r="O439" s="14" t="n">
        <v>50</v>
      </c>
      <c r="P439" s="14">
        <f>INDEX(Khung_cap_do!$H$2:$H$6,H439)</f>
        <v/>
      </c>
      <c r="Q439" s="3" t="inlineStr">
        <is>
          <t>V1.DOC.04</t>
        </is>
      </c>
      <c r="R439" s="3" t="inlineStr">
        <is>
          <t>TV.DOCHIEU</t>
        </is>
      </c>
    </row>
    <row r="440">
      <c r="A440" s="3" t="inlineStr">
        <is>
          <t>tv1-kntt-t13-q8</t>
        </is>
      </c>
      <c r="B440" s="3" t="inlineStr">
        <is>
          <t>Tiếng Việt</t>
        </is>
      </c>
      <c r="C440" s="3" t="inlineStr">
        <is>
          <t>Kết nối tri thức</t>
        </is>
      </c>
      <c r="D440" s="3" t="inlineStr">
        <is>
          <t>Tuần 13 (Bài 61–65)</t>
        </is>
      </c>
      <c r="E440" s="3" t="inlineStr">
        <is>
          <t>Phần 2. Vần (tuần 7–16)</t>
        </is>
      </c>
      <c r="F440" s="3" t="inlineStr">
        <is>
          <t>Tuần 13: ong, ông, ung, ưng, iêc, iên, iêp, iêng, iêm, yên, iêt, iêu, yêu</t>
        </is>
      </c>
      <c r="G440" s="3" t="inlineStr">
        <is>
          <t>Đúng / Sai</t>
        </is>
      </c>
      <c r="H440" s="14" t="n">
        <v>2</v>
      </c>
      <c r="I440" s="3" t="inlineStr">
        <is>
          <t>Cơ bản</t>
        </is>
      </c>
      <c r="J440" s="3" t="inlineStr">
        <is>
          <t>Viết 'yêu' (không có âm đầu) là đúng chính tả. Đúng hay sai?</t>
        </is>
      </c>
      <c r="K440" s="3" t="inlineStr">
        <is>
          <t>A. Đúng | B. Sai</t>
        </is>
      </c>
      <c r="L440" s="3" t="inlineStr">
        <is>
          <t>A</t>
        </is>
      </c>
      <c r="M440" s="3" t="inlineStr">
        <is>
          <t>Không có âm đầu thì viết yê: yêu.</t>
        </is>
      </c>
      <c r="N440" s="3" t="n"/>
      <c r="O440" s="14" t="n">
        <v>40</v>
      </c>
      <c r="P440" s="14">
        <f>INDEX(Khung_cap_do!$H$2:$H$6,H440)</f>
        <v/>
      </c>
      <c r="Q440" s="3" t="inlineStr">
        <is>
          <t>V1.AM.04</t>
        </is>
      </c>
      <c r="R440" s="3" t="inlineStr">
        <is>
          <t>TV.CHINHTA</t>
        </is>
      </c>
    </row>
    <row r="441">
      <c r="A441" s="3" t="inlineStr">
        <is>
          <t>tv1-kntt-t13-q9</t>
        </is>
      </c>
      <c r="B441" s="3" t="inlineStr">
        <is>
          <t>Tiếng Việt</t>
        </is>
      </c>
      <c r="C441" s="3" t="inlineStr">
        <is>
          <t>Kết nối tri thức</t>
        </is>
      </c>
      <c r="D441" s="3" t="inlineStr">
        <is>
          <t>Tuần 13 (Bài 61–65)</t>
        </is>
      </c>
      <c r="E441" s="3" t="inlineStr">
        <is>
          <t>Phần 2. Vần (tuần 7–16)</t>
        </is>
      </c>
      <c r="F441" s="3" t="inlineStr">
        <is>
          <t>Tuần 13: ong, ông, ung, ưng, iêc, iên, iêp, iêng, iêm, yên, iêt, iêu, yêu</t>
        </is>
      </c>
      <c r="G441" s="3" t="inlineStr">
        <is>
          <t>Chọn đáp án</t>
        </is>
      </c>
      <c r="H441" s="14" t="n">
        <v>1</v>
      </c>
      <c r="I441" s="3" t="inlineStr">
        <is>
          <t>Làm quen</t>
        </is>
      </c>
      <c r="J441" s="3" t="inlineStr">
        <is>
          <t>Bé thả gì bay cao trên trời?</t>
        </is>
      </c>
      <c r="K441" s="3" t="inlineStr">
        <is>
          <t>A. cánh diều | B. quả bóng | C. con chim</t>
        </is>
      </c>
      <c r="L441" s="3" t="inlineStr">
        <is>
          <t>A</t>
        </is>
      </c>
      <c r="M441" s="3" t="inlineStr">
        <is>
          <t>Bé thả diều.</t>
        </is>
      </c>
      <c r="N441" s="3" t="n"/>
      <c r="O441" s="14" t="n">
        <v>30</v>
      </c>
      <c r="P441" s="14">
        <f>INDEX(Khung_cap_do!$H$2:$H$6,H441)</f>
        <v/>
      </c>
      <c r="Q441" s="3" t="inlineStr">
        <is>
          <t>V1.VIET.04</t>
        </is>
      </c>
      <c r="R441" s="3" t="inlineStr">
        <is>
          <t>TV.NOITU</t>
        </is>
      </c>
    </row>
    <row r="442">
      <c r="A442" s="3" t="inlineStr">
        <is>
          <t>tv1-kntt-t13-q10</t>
        </is>
      </c>
      <c r="B442" s="3" t="inlineStr">
        <is>
          <t>Tiếng Việt</t>
        </is>
      </c>
      <c r="C442" s="3" t="inlineStr">
        <is>
          <t>Kết nối tri thức</t>
        </is>
      </c>
      <c r="D442" s="3" t="inlineStr">
        <is>
          <t>Tuần 13 (Bài 61–65)</t>
        </is>
      </c>
      <c r="E442" s="3" t="inlineStr">
        <is>
          <t>Phần 2. Vần (tuần 7–16)</t>
        </is>
      </c>
      <c r="F442" s="3" t="inlineStr">
        <is>
          <t>Tuần 13: ong, ông, ung, ưng, iêc, iên, iêp, iêng, iêm, yên, iêt, iêu, yêu</t>
        </is>
      </c>
      <c r="G442" s="3" t="inlineStr">
        <is>
          <t>Chọn đáp án</t>
        </is>
      </c>
      <c r="H442" s="14" t="n">
        <v>1</v>
      </c>
      <c r="I442" s="3" t="inlineStr">
        <is>
          <t>Làm quen</t>
        </is>
      </c>
      <c r="J442" s="3" t="inlineStr">
        <is>
          <t>Tiếng nào có vần ưng?</t>
        </is>
      </c>
      <c r="K442" s="3" t="inlineStr">
        <is>
          <t>A. gừng | B. gầng | C. gồng</t>
        </is>
      </c>
      <c r="L442" s="3" t="inlineStr">
        <is>
          <t>A</t>
        </is>
      </c>
      <c r="M442" s="3" t="inlineStr">
        <is>
          <t>'gừng' có vần ưng.</t>
        </is>
      </c>
      <c r="N442" s="3" t="n"/>
      <c r="O442" s="14" t="n">
        <v>30</v>
      </c>
      <c r="P442" s="14">
        <f>INDEX(Khung_cap_do!$H$2:$H$6,H442)</f>
        <v/>
      </c>
      <c r="Q442" s="3" t="inlineStr">
        <is>
          <t>V1.AM.03</t>
        </is>
      </c>
      <c r="R442" s="3" t="inlineStr">
        <is>
          <t>TV.GHEPVAN</t>
        </is>
      </c>
    </row>
    <row r="443">
      <c r="A443" s="3" t="inlineStr">
        <is>
          <t>tv1-kntt-t14-q1</t>
        </is>
      </c>
      <c r="B443" s="3" t="inlineStr">
        <is>
          <t>Tiếng Việt</t>
        </is>
      </c>
      <c r="C443" s="3" t="inlineStr">
        <is>
          <t>Kết nối tri thức</t>
        </is>
      </c>
      <c r="D443" s="3" t="inlineStr">
        <is>
          <t>Tuần 14 (Bài 66–70)</t>
        </is>
      </c>
      <c r="E443" s="3" t="inlineStr">
        <is>
          <t>Phần 2. Vần (tuần 7–16)</t>
        </is>
      </c>
      <c r="F443" s="3" t="inlineStr">
        <is>
          <t>Tuần 14: uôi, uôm, uôc, uôt, uôn, uông, ươi, ươu</t>
        </is>
      </c>
      <c r="G443" s="3" t="inlineStr">
        <is>
          <t>Chọn đáp án</t>
        </is>
      </c>
      <c r="H443" s="14" t="n">
        <v>1</v>
      </c>
      <c r="I443" s="3" t="inlineStr">
        <is>
          <t>Làm quen</t>
        </is>
      </c>
      <c r="J443" s="3" t="inlineStr">
        <is>
          <t>Tiếng 'chuột' có vần gì?</t>
        </is>
      </c>
      <c r="K443" s="3" t="inlineStr">
        <is>
          <t>A. uôt | B. uôc | C. uôn</t>
        </is>
      </c>
      <c r="L443" s="3" t="inlineStr">
        <is>
          <t>A</t>
        </is>
      </c>
      <c r="M443" s="3" t="inlineStr">
        <is>
          <t>'chuột' = ch + uôt, dấu nặng.</t>
        </is>
      </c>
      <c r="N443" s="3" t="n"/>
      <c r="O443" s="14" t="n">
        <v>30</v>
      </c>
      <c r="P443" s="14">
        <f>INDEX(Khung_cap_do!$H$2:$H$6,H443)</f>
        <v/>
      </c>
      <c r="Q443" s="3" t="inlineStr">
        <is>
          <t>V1.AM.03</t>
        </is>
      </c>
      <c r="R443" s="3" t="inlineStr">
        <is>
          <t>TV.GHEPVAN</t>
        </is>
      </c>
    </row>
    <row r="444">
      <c r="A444" s="3" t="inlineStr">
        <is>
          <t>tv1-kntt-t14-q2</t>
        </is>
      </c>
      <c r="B444" s="3" t="inlineStr">
        <is>
          <t>Tiếng Việt</t>
        </is>
      </c>
      <c r="C444" s="3" t="inlineStr">
        <is>
          <t>Kết nối tri thức</t>
        </is>
      </c>
      <c r="D444" s="3" t="inlineStr">
        <is>
          <t>Tuần 14 (Bài 66–70)</t>
        </is>
      </c>
      <c r="E444" s="3" t="inlineStr">
        <is>
          <t>Phần 2. Vần (tuần 7–16)</t>
        </is>
      </c>
      <c r="F444" s="3" t="inlineStr">
        <is>
          <t>Tuần 14: uôi, uôm, uôc, uôt, uôn, uông, ươi, ươu</t>
        </is>
      </c>
      <c r="G444" s="3" t="inlineStr">
        <is>
          <t>Chọn đáp án</t>
        </is>
      </c>
      <c r="H444" s="14" t="n">
        <v>2</v>
      </c>
      <c r="I444" s="3" t="inlineStr">
        <is>
          <t>Cơ bản</t>
        </is>
      </c>
      <c r="J444" s="3" t="inlineStr">
        <is>
          <t>Điền uôi hay ươi: quả b...</t>
        </is>
      </c>
      <c r="K444" s="3" t="inlineStr">
        <is>
          <t>A. uôi | B. ươi</t>
        </is>
      </c>
      <c r="L444" s="3" t="inlineStr">
        <is>
          <t>B</t>
        </is>
      </c>
      <c r="M444" s="3" t="inlineStr">
        <is>
          <t>quả bưởi: vần ươi.</t>
        </is>
      </c>
      <c r="N444" s="3" t="n"/>
      <c r="O444" s="14" t="n">
        <v>40</v>
      </c>
      <c r="P444" s="14">
        <f>INDEX(Khung_cap_do!$H$2:$H$6,H444)</f>
        <v/>
      </c>
      <c r="Q444" s="3" t="inlineStr">
        <is>
          <t>V1.AM.03</t>
        </is>
      </c>
      <c r="R444" s="3" t="inlineStr">
        <is>
          <t>TV.GHEPVAN</t>
        </is>
      </c>
    </row>
    <row r="445">
      <c r="A445" s="3" t="inlineStr">
        <is>
          <t>tv1-kntt-t14-q3</t>
        </is>
      </c>
      <c r="B445" s="3" t="inlineStr">
        <is>
          <t>Tiếng Việt</t>
        </is>
      </c>
      <c r="C445" s="3" t="inlineStr">
        <is>
          <t>Kết nối tri thức</t>
        </is>
      </c>
      <c r="D445" s="3" t="inlineStr">
        <is>
          <t>Tuần 14 (Bài 66–70)</t>
        </is>
      </c>
      <c r="E445" s="3" t="inlineStr">
        <is>
          <t>Phần 2. Vần (tuần 7–16)</t>
        </is>
      </c>
      <c r="F445" s="3" t="inlineStr">
        <is>
          <t>Tuần 14: uôi, uôm, uôc, uôt, uôn, uông, ươi, ươu</t>
        </is>
      </c>
      <c r="G445" s="3" t="inlineStr">
        <is>
          <t>Chọn nhiều đáp án</t>
        </is>
      </c>
      <c r="H445" s="14" t="n">
        <v>2</v>
      </c>
      <c r="I445" s="3" t="inlineStr">
        <is>
          <t>Cơ bản</t>
        </is>
      </c>
      <c r="J445" s="3" t="inlineStr">
        <is>
          <t>Chọn TẤT CẢ các tiếng có vần uông</t>
        </is>
      </c>
      <c r="K445" s="3" t="inlineStr">
        <is>
          <t>A. chuông | B. xuồng | C. cuộn | D. luống | E. muốn</t>
        </is>
      </c>
      <c r="L445" s="3" t="inlineStr">
        <is>
          <t>A, B, D</t>
        </is>
      </c>
      <c r="M445" s="3" t="inlineStr">
        <is>
          <t>'chuông', 'xuồng', 'luống' có uông; 'cuộn', 'muốn' có uôn.</t>
        </is>
      </c>
      <c r="N445" s="3" t="n"/>
      <c r="O445" s="14" t="n">
        <v>50</v>
      </c>
      <c r="P445" s="14">
        <f>INDEX(Khung_cap_do!$H$2:$H$6,H445)</f>
        <v/>
      </c>
      <c r="Q445" s="3" t="inlineStr">
        <is>
          <t>V1.AM.03</t>
        </is>
      </c>
      <c r="R445" s="3" t="inlineStr">
        <is>
          <t>TV.GHEPVAN</t>
        </is>
      </c>
    </row>
    <row r="446">
      <c r="A446" s="3" t="inlineStr">
        <is>
          <t>tv1-kntt-t14-q4</t>
        </is>
      </c>
      <c r="B446" s="3" t="inlineStr">
        <is>
          <t>Tiếng Việt</t>
        </is>
      </c>
      <c r="C446" s="3" t="inlineStr">
        <is>
          <t>Kết nối tri thức</t>
        </is>
      </c>
      <c r="D446" s="3" t="inlineStr">
        <is>
          <t>Tuần 14 (Bài 66–70)</t>
        </is>
      </c>
      <c r="E446" s="3" t="inlineStr">
        <is>
          <t>Phần 2. Vần (tuần 7–16)</t>
        </is>
      </c>
      <c r="F446" s="3" t="inlineStr">
        <is>
          <t>Tuần 14: uôi, uôm, uôc, uôt, uôn, uông, ươi, ươu</t>
        </is>
      </c>
      <c r="G446" s="3" t="inlineStr">
        <is>
          <t>Ghép cặp</t>
        </is>
      </c>
      <c r="H446" s="14" t="n">
        <v>2</v>
      </c>
      <c r="I446" s="3" t="inlineStr">
        <is>
          <t>Cơ bản</t>
        </is>
      </c>
      <c r="J446" s="3" t="inlineStr">
        <is>
          <t>Ghép từ với hình đúng</t>
        </is>
      </c>
      <c r="K446" s="3" t="inlineStr">
        <is>
          <t>chuối ↔ ? / chuột ↔ ? / chuông ↔ ?</t>
        </is>
      </c>
      <c r="L446" s="3" t="inlineStr">
        <is>
          <t>chuối – 🍌; chuột – 🐭; chuông – 🔔</t>
        </is>
      </c>
      <c r="M446" s="3" t="inlineStr">
        <is>
          <t>quả chuối, con chuột, cái chuông.</t>
        </is>
      </c>
      <c r="N446" s="3" t="n"/>
      <c r="O446" s="14" t="n">
        <v>55</v>
      </c>
      <c r="P446" s="14">
        <f>INDEX(Khung_cap_do!$H$2:$H$6,H446)</f>
        <v/>
      </c>
      <c r="Q446" s="3" t="inlineStr">
        <is>
          <t>V1.DOC.05</t>
        </is>
      </c>
      <c r="R446" s="3" t="inlineStr">
        <is>
          <t>TV.NOITU</t>
        </is>
      </c>
    </row>
    <row r="447">
      <c r="A447" s="3" t="inlineStr">
        <is>
          <t>tv1-kntt-t14-q5</t>
        </is>
      </c>
      <c r="B447" s="3" t="inlineStr">
        <is>
          <t>Tiếng Việt</t>
        </is>
      </c>
      <c r="C447" s="3" t="inlineStr">
        <is>
          <t>Kết nối tri thức</t>
        </is>
      </c>
      <c r="D447" s="3" t="inlineStr">
        <is>
          <t>Tuần 14 (Bài 66–70)</t>
        </is>
      </c>
      <c r="E447" s="3" t="inlineStr">
        <is>
          <t>Phần 2. Vần (tuần 7–16)</t>
        </is>
      </c>
      <c r="F447" s="3" t="inlineStr">
        <is>
          <t>Tuần 14: uôi, uôm, uôc, uôt, uôn, uông, ươi, ươu</t>
        </is>
      </c>
      <c r="G447" s="3" t="inlineStr">
        <is>
          <t>Điền đáp án</t>
        </is>
      </c>
      <c r="H447" s="14" t="n">
        <v>2</v>
      </c>
      <c r="I447" s="3" t="inlineStr">
        <is>
          <t>Cơ bản</t>
        </is>
      </c>
      <c r="J447" s="3" t="inlineStr">
        <is>
          <t>Ghép âm h với vần ươu. Được tiếng gì?</t>
        </is>
      </c>
      <c r="K447" s="3" t="inlineStr"/>
      <c r="L447" s="3" t="inlineStr">
        <is>
          <t>hươu</t>
        </is>
      </c>
      <c r="M447" s="3" t="inlineStr">
        <is>
          <t>h – ươu – hươu.</t>
        </is>
      </c>
      <c r="N447" s="3" t="n"/>
      <c r="O447" s="14" t="n">
        <v>50</v>
      </c>
      <c r="P447" s="14">
        <f>INDEX(Khung_cap_do!$H$2:$H$6,H447)</f>
        <v/>
      </c>
      <c r="Q447" s="3" t="inlineStr">
        <is>
          <t>V1.DOC.01</t>
        </is>
      </c>
      <c r="R447" s="3" t="inlineStr">
        <is>
          <t>TV.GHEPVAN</t>
        </is>
      </c>
    </row>
    <row r="448">
      <c r="A448" s="3" t="inlineStr">
        <is>
          <t>tv1-kntt-t14-q6</t>
        </is>
      </c>
      <c r="B448" s="3" t="inlineStr">
        <is>
          <t>Tiếng Việt</t>
        </is>
      </c>
      <c r="C448" s="3" t="inlineStr">
        <is>
          <t>Kết nối tri thức</t>
        </is>
      </c>
      <c r="D448" s="3" t="inlineStr">
        <is>
          <t>Tuần 14 (Bài 66–70)</t>
        </is>
      </c>
      <c r="E448" s="3" t="inlineStr">
        <is>
          <t>Phần 2. Vần (tuần 7–16)</t>
        </is>
      </c>
      <c r="F448" s="3" t="inlineStr">
        <is>
          <t>Tuần 14: uôi, uôm, uôc, uôt, uôn, uông, ươi, ươu</t>
        </is>
      </c>
      <c r="G448" s="3" t="inlineStr">
        <is>
          <t>Sắp xếp</t>
        </is>
      </c>
      <c r="H448" s="14" t="n">
        <v>3</v>
      </c>
      <c r="I448" s="3" t="inlineStr">
        <is>
          <t>Vận dụng</t>
        </is>
      </c>
      <c r="J448" s="3" t="inlineStr">
        <is>
          <t>Sắp xếp các tiếng thành câu</t>
        </is>
      </c>
      <c r="K448" s="3" t="inlineStr">
        <is>
          <t>Bé / chuối / có / mười / quả</t>
        </is>
      </c>
      <c r="L448" s="3" t="inlineStr">
        <is>
          <t>Bé → có → mười → quả → chuối</t>
        </is>
      </c>
      <c r="M448" s="3" t="inlineStr">
        <is>
          <t>Câu đúng: Bé có mười quả chuối.</t>
        </is>
      </c>
      <c r="N448" s="3" t="inlineStr">
        <is>
          <t>Câu bắt đầu bằng 'Bé' viết hoa. Bé làm gì? 'có'. Có gì? 'mười quả chuối'.</t>
        </is>
      </c>
      <c r="O448" s="14" t="n">
        <v>65</v>
      </c>
      <c r="P448" s="14">
        <f>INDEX(Khung_cap_do!$H$2:$H$6,H448)</f>
        <v/>
      </c>
      <c r="Q448" s="3" t="inlineStr">
        <is>
          <t>V1.DOC.01</t>
        </is>
      </c>
      <c r="R448" s="3" t="inlineStr">
        <is>
          <t>TV.XEPCAU</t>
        </is>
      </c>
    </row>
    <row r="449">
      <c r="A449" s="3" t="inlineStr">
        <is>
          <t>tv1-kntt-t14-q7</t>
        </is>
      </c>
      <c r="B449" s="3" t="inlineStr">
        <is>
          <t>Tiếng Việt</t>
        </is>
      </c>
      <c r="C449" s="3" t="inlineStr">
        <is>
          <t>Kết nối tri thức</t>
        </is>
      </c>
      <c r="D449" s="3" t="inlineStr">
        <is>
          <t>Tuần 14 (Bài 66–70)</t>
        </is>
      </c>
      <c r="E449" s="3" t="inlineStr">
        <is>
          <t>Phần 2. Vần (tuần 7–16)</t>
        </is>
      </c>
      <c r="F449" s="3" t="inlineStr">
        <is>
          <t>Tuần 14: uôi, uôm, uôc, uôt, uôn, uông, ươi, ươu</t>
        </is>
      </c>
      <c r="G449" s="3" t="inlineStr">
        <is>
          <t>Chọn nhiều đáp án</t>
        </is>
      </c>
      <c r="H449" s="14" t="n">
        <v>3</v>
      </c>
      <c r="I449" s="3" t="inlineStr">
        <is>
          <t>Vận dụng</t>
        </is>
      </c>
      <c r="J449" s="3" t="inlineStr">
        <is>
          <t>Đọc câu: 'Nhà bà có cây bưởi và cây chuối.' Nhà bà có những cây gì?</t>
        </is>
      </c>
      <c r="K449" s="3" t="inlineStr">
        <is>
          <t>A. bưởi | B. chuối | C. cam</t>
        </is>
      </c>
      <c r="L449" s="3" t="inlineStr">
        <is>
          <t>A, B</t>
        </is>
      </c>
      <c r="M449" s="3" t="inlineStr">
        <is>
          <t>Nhà bà có cây bưởi và cây chuối.</t>
        </is>
      </c>
      <c r="N449" s="3" t="inlineStr">
        <is>
          <t>Câu nói 'cây bưởi và cây chuối'. Cam không có trong câu.</t>
        </is>
      </c>
      <c r="O449" s="14" t="n">
        <v>70</v>
      </c>
      <c r="P449" s="14">
        <f>INDEX(Khung_cap_do!$H$2:$H$6,H449)</f>
        <v/>
      </c>
      <c r="Q449" s="3" t="inlineStr">
        <is>
          <t>V1.DOC.04</t>
        </is>
      </c>
      <c r="R449" s="3" t="inlineStr">
        <is>
          <t>TV.DOCHIEU</t>
        </is>
      </c>
    </row>
    <row r="450">
      <c r="A450" s="3" t="inlineStr">
        <is>
          <t>tv1-kntt-t14-q8</t>
        </is>
      </c>
      <c r="B450" s="3" t="inlineStr">
        <is>
          <t>Tiếng Việt</t>
        </is>
      </c>
      <c r="C450" s="3" t="inlineStr">
        <is>
          <t>Kết nối tri thức</t>
        </is>
      </c>
      <c r="D450" s="3" t="inlineStr">
        <is>
          <t>Tuần 14 (Bài 66–70)</t>
        </is>
      </c>
      <c r="E450" s="3" t="inlineStr">
        <is>
          <t>Phần 2. Vần (tuần 7–16)</t>
        </is>
      </c>
      <c r="F450" s="3" t="inlineStr">
        <is>
          <t>Tuần 14: uôi, uôm, uôc, uôt, uôn, uông, ươi, ươu</t>
        </is>
      </c>
      <c r="G450" s="3" t="inlineStr">
        <is>
          <t>Đúng / Sai</t>
        </is>
      </c>
      <c r="H450" s="14" t="n">
        <v>1</v>
      </c>
      <c r="I450" s="3" t="inlineStr">
        <is>
          <t>Làm quen</t>
        </is>
      </c>
      <c r="J450" s="3" t="inlineStr">
        <is>
          <t>Tiếng 'buồm' có vần uôm. Đúng hay sai?</t>
        </is>
      </c>
      <c r="K450" s="3" t="inlineStr">
        <is>
          <t>A. Đúng | B. Sai</t>
        </is>
      </c>
      <c r="L450" s="3" t="inlineStr">
        <is>
          <t>A</t>
        </is>
      </c>
      <c r="M450" s="3" t="inlineStr">
        <is>
          <t>'buồm' = b + uôm, dấu huyền.</t>
        </is>
      </c>
      <c r="N450" s="3" t="n"/>
      <c r="O450" s="14" t="n">
        <v>30</v>
      </c>
      <c r="P450" s="14">
        <f>INDEX(Khung_cap_do!$H$2:$H$6,H450)</f>
        <v/>
      </c>
      <c r="Q450" s="3" t="inlineStr">
        <is>
          <t>V1.AM.03</t>
        </is>
      </c>
      <c r="R450" s="3" t="inlineStr">
        <is>
          <t>TV.GHEPVAN</t>
        </is>
      </c>
    </row>
    <row r="451">
      <c r="A451" s="3" t="inlineStr">
        <is>
          <t>tv1-kntt-t14-q9</t>
        </is>
      </c>
      <c r="B451" s="3" t="inlineStr">
        <is>
          <t>Tiếng Việt</t>
        </is>
      </c>
      <c r="C451" s="3" t="inlineStr">
        <is>
          <t>Kết nối tri thức</t>
        </is>
      </c>
      <c r="D451" s="3" t="inlineStr">
        <is>
          <t>Tuần 14 (Bài 66–70)</t>
        </is>
      </c>
      <c r="E451" s="3" t="inlineStr">
        <is>
          <t>Phần 2. Vần (tuần 7–16)</t>
        </is>
      </c>
      <c r="F451" s="3" t="inlineStr">
        <is>
          <t>Tuần 14: uôi, uôm, uôc, uôt, uôn, uông, ươi, ươu</t>
        </is>
      </c>
      <c r="G451" s="3" t="inlineStr">
        <is>
          <t>Chọn đáp án</t>
        </is>
      </c>
      <c r="H451" s="14" t="n">
        <v>3</v>
      </c>
      <c r="I451" s="3" t="inlineStr">
        <is>
          <t>Vận dụng</t>
        </is>
      </c>
      <c r="J451" s="3" t="inlineStr">
        <is>
          <t>Con gì có cổ dài, sừng có nhánh, sống trong rừng?</t>
        </is>
      </c>
      <c r="K451" s="3" t="inlineStr">
        <is>
          <t>A. con hươu | B. con chuột | C. con cuốc</t>
        </is>
      </c>
      <c r="L451" s="3" t="inlineStr">
        <is>
          <t>A</t>
        </is>
      </c>
      <c r="M451" s="3" t="inlineStr">
        <is>
          <t>Con hươu có sừng nhánh.</t>
        </is>
      </c>
      <c r="N451" s="3" t="inlineStr">
        <is>
          <t>Hươu có cổ dài, sừng chia nhánh, sống trong rừng. Chuột và cuốc không có sừng. Chọn 'con hươu'.</t>
        </is>
      </c>
      <c r="O451" s="14" t="n">
        <v>50</v>
      </c>
      <c r="P451" s="14">
        <f>INDEX(Khung_cap_do!$H$2:$H$6,H451)</f>
        <v/>
      </c>
      <c r="Q451" s="3" t="inlineStr">
        <is>
          <t>V1.VIET.04</t>
        </is>
      </c>
      <c r="R451" s="3" t="inlineStr">
        <is>
          <t>TV.NOITU</t>
        </is>
      </c>
    </row>
    <row r="452">
      <c r="A452" s="3" t="inlineStr">
        <is>
          <t>tv1-kntt-t14-q10</t>
        </is>
      </c>
      <c r="B452" s="3" t="inlineStr">
        <is>
          <t>Tiếng Việt</t>
        </is>
      </c>
      <c r="C452" s="3" t="inlineStr">
        <is>
          <t>Kết nối tri thức</t>
        </is>
      </c>
      <c r="D452" s="3" t="inlineStr">
        <is>
          <t>Tuần 14 (Bài 66–70)</t>
        </is>
      </c>
      <c r="E452" s="3" t="inlineStr">
        <is>
          <t>Phần 2. Vần (tuần 7–16)</t>
        </is>
      </c>
      <c r="F452" s="3" t="inlineStr">
        <is>
          <t>Tuần 14: uôi, uôm, uôc, uôt, uôn, uông, ươi, ươu</t>
        </is>
      </c>
      <c r="G452" s="3" t="inlineStr">
        <is>
          <t>Chọn đáp án</t>
        </is>
      </c>
      <c r="H452" s="14" t="n">
        <v>2</v>
      </c>
      <c r="I452" s="3" t="inlineStr">
        <is>
          <t>Cơ bản</t>
        </is>
      </c>
      <c r="J452" s="3" t="inlineStr">
        <is>
          <t>Số 10 đọc là gì?</t>
        </is>
      </c>
      <c r="K452" s="3" t="inlineStr">
        <is>
          <t>A. mười | B. mươi | C. muối</t>
        </is>
      </c>
      <c r="L452" s="3" t="inlineStr">
        <is>
          <t>A</t>
        </is>
      </c>
      <c r="M452" s="3" t="inlineStr">
        <is>
          <t>Số 10 đọc là "mười" (vần ươi, dấu huyền).</t>
        </is>
      </c>
      <c r="N452" s="3" t="n"/>
      <c r="O452" s="14" t="n">
        <v>40</v>
      </c>
      <c r="P452" s="14">
        <f>INDEX(Khung_cap_do!$H$2:$H$6,H452)</f>
        <v/>
      </c>
      <c r="Q452" s="3" t="inlineStr">
        <is>
          <t>V1.VIET.04</t>
        </is>
      </c>
      <c r="R452" s="3" t="inlineStr">
        <is>
          <t>TV.TUNGU</t>
        </is>
      </c>
    </row>
    <row r="453">
      <c r="A453" s="3" t="inlineStr">
        <is>
          <t>tv1-kntt-t15-q1</t>
        </is>
      </c>
      <c r="B453" s="3" t="inlineStr">
        <is>
          <t>Tiếng Việt</t>
        </is>
      </c>
      <c r="C453" s="3" t="inlineStr">
        <is>
          <t>Kết nối tri thức</t>
        </is>
      </c>
      <c r="D453" s="3" t="inlineStr">
        <is>
          <t>Tuần 15 (Bài 71–75)</t>
        </is>
      </c>
      <c r="E453" s="3" t="inlineStr">
        <is>
          <t>Phần 2. Vần (tuần 7–16)</t>
        </is>
      </c>
      <c r="F453" s="3" t="inlineStr">
        <is>
          <t>Tuần 15: ươc, ươt, ươm, ươp, ươn, ương, oa, oe</t>
        </is>
      </c>
      <c r="G453" s="3" t="inlineStr">
        <is>
          <t>Chọn đáp án</t>
        </is>
      </c>
      <c r="H453" s="14" t="n">
        <v>1</v>
      </c>
      <c r="I453" s="3" t="inlineStr">
        <is>
          <t>Làm quen</t>
        </is>
      </c>
      <c r="J453" s="3" t="inlineStr">
        <is>
          <t>Tiếng 'bướm' có vần gì?</t>
        </is>
      </c>
      <c r="K453" s="3" t="inlineStr">
        <is>
          <t>A. ươm | B. ươp | C. uôm</t>
        </is>
      </c>
      <c r="L453" s="3" t="inlineStr">
        <is>
          <t>A</t>
        </is>
      </c>
      <c r="M453" s="3" t="inlineStr">
        <is>
          <t>'bướm' = b + ươm, dấu sắc.</t>
        </is>
      </c>
      <c r="N453" s="3" t="n"/>
      <c r="O453" s="14" t="n">
        <v>30</v>
      </c>
      <c r="P453" s="14">
        <f>INDEX(Khung_cap_do!$H$2:$H$6,H453)</f>
        <v/>
      </c>
      <c r="Q453" s="3" t="inlineStr">
        <is>
          <t>V1.AM.03</t>
        </is>
      </c>
      <c r="R453" s="3" t="inlineStr">
        <is>
          <t>TV.GHEPVAN</t>
        </is>
      </c>
    </row>
    <row r="454">
      <c r="A454" s="3" t="inlineStr">
        <is>
          <t>tv1-kntt-t15-q2</t>
        </is>
      </c>
      <c r="B454" s="3" t="inlineStr">
        <is>
          <t>Tiếng Việt</t>
        </is>
      </c>
      <c r="C454" s="3" t="inlineStr">
        <is>
          <t>Kết nối tri thức</t>
        </is>
      </c>
      <c r="D454" s="3" t="inlineStr">
        <is>
          <t>Tuần 15 (Bài 71–75)</t>
        </is>
      </c>
      <c r="E454" s="3" t="inlineStr">
        <is>
          <t>Phần 2. Vần (tuần 7–16)</t>
        </is>
      </c>
      <c r="F454" s="3" t="inlineStr">
        <is>
          <t>Tuần 15: ươc, ươt, ươm, ươp, ươn, ương, oa, oe</t>
        </is>
      </c>
      <c r="G454" s="3" t="inlineStr">
        <is>
          <t>Chọn đáp án</t>
        </is>
      </c>
      <c r="H454" s="14" t="n">
        <v>2</v>
      </c>
      <c r="I454" s="3" t="inlineStr">
        <is>
          <t>Cơ bản</t>
        </is>
      </c>
      <c r="J454" s="3" t="inlineStr">
        <is>
          <t>Điền oa hay oe: chim công x... đuôi</t>
        </is>
      </c>
      <c r="K454" s="3" t="inlineStr">
        <is>
          <t>A. oa | B. oe</t>
        </is>
      </c>
      <c r="L454" s="3" t="inlineStr">
        <is>
          <t>B</t>
        </is>
      </c>
      <c r="M454" s="3" t="inlineStr">
        <is>
          <t>chim công xòe đuôi: vần oe.</t>
        </is>
      </c>
      <c r="N454" s="3" t="n"/>
      <c r="O454" s="14" t="n">
        <v>40</v>
      </c>
      <c r="P454" s="14">
        <f>INDEX(Khung_cap_do!$H$2:$H$6,H454)</f>
        <v/>
      </c>
      <c r="Q454" s="3" t="inlineStr">
        <is>
          <t>V1.AM.03</t>
        </is>
      </c>
      <c r="R454" s="3" t="inlineStr">
        <is>
          <t>TV.GHEPVAN</t>
        </is>
      </c>
    </row>
    <row r="455">
      <c r="A455" s="3" t="inlineStr">
        <is>
          <t>tv1-kntt-t15-q3</t>
        </is>
      </c>
      <c r="B455" s="3" t="inlineStr">
        <is>
          <t>Tiếng Việt</t>
        </is>
      </c>
      <c r="C455" s="3" t="inlineStr">
        <is>
          <t>Kết nối tri thức</t>
        </is>
      </c>
      <c r="D455" s="3" t="inlineStr">
        <is>
          <t>Tuần 15 (Bài 71–75)</t>
        </is>
      </c>
      <c r="E455" s="3" t="inlineStr">
        <is>
          <t>Phần 2. Vần (tuần 7–16)</t>
        </is>
      </c>
      <c r="F455" s="3" t="inlineStr">
        <is>
          <t>Tuần 15: ươc, ươt, ươm, ươp, ươn, ương, oa, oe</t>
        </is>
      </c>
      <c r="G455" s="3" t="inlineStr">
        <is>
          <t>Chọn nhiều đáp án</t>
        </is>
      </c>
      <c r="H455" s="14" t="n">
        <v>2</v>
      </c>
      <c r="I455" s="3" t="inlineStr">
        <is>
          <t>Cơ bản</t>
        </is>
      </c>
      <c r="J455" s="3" t="inlineStr">
        <is>
          <t>Chọn TẤT CẢ các tiếng có vần ương</t>
        </is>
      </c>
      <c r="K455" s="3" t="inlineStr">
        <is>
          <t>A. gương | B. vườn | C. đường | D. sương | E. lươn</t>
        </is>
      </c>
      <c r="L455" s="3" t="inlineStr">
        <is>
          <t>A, C, D</t>
        </is>
      </c>
      <c r="M455" s="3" t="inlineStr">
        <is>
          <t>'gương', 'đường', 'sương' có ương; 'vườn', 'lươn' có ươn.</t>
        </is>
      </c>
      <c r="N455" s="3" t="n"/>
      <c r="O455" s="14" t="n">
        <v>50</v>
      </c>
      <c r="P455" s="14">
        <f>INDEX(Khung_cap_do!$H$2:$H$6,H455)</f>
        <v/>
      </c>
      <c r="Q455" s="3" t="inlineStr">
        <is>
          <t>V1.AM.03</t>
        </is>
      </c>
      <c r="R455" s="3" t="inlineStr">
        <is>
          <t>TV.GHEPVAN</t>
        </is>
      </c>
    </row>
    <row r="456">
      <c r="A456" s="3" t="inlineStr">
        <is>
          <t>tv1-kntt-t15-q4</t>
        </is>
      </c>
      <c r="B456" s="3" t="inlineStr">
        <is>
          <t>Tiếng Việt</t>
        </is>
      </c>
      <c r="C456" s="3" t="inlineStr">
        <is>
          <t>Kết nối tri thức</t>
        </is>
      </c>
      <c r="D456" s="3" t="inlineStr">
        <is>
          <t>Tuần 15 (Bài 71–75)</t>
        </is>
      </c>
      <c r="E456" s="3" t="inlineStr">
        <is>
          <t>Phần 2. Vần (tuần 7–16)</t>
        </is>
      </c>
      <c r="F456" s="3" t="inlineStr">
        <is>
          <t>Tuần 15: ươc, ươt, ươm, ươp, ươn, ương, oa, oe</t>
        </is>
      </c>
      <c r="G456" s="3" t="inlineStr">
        <is>
          <t>Ghép cặp</t>
        </is>
      </c>
      <c r="H456" s="14" t="n">
        <v>2</v>
      </c>
      <c r="I456" s="3" t="inlineStr">
        <is>
          <t>Cơ bản</t>
        </is>
      </c>
      <c r="J456" s="3" t="inlineStr">
        <is>
          <t>Ghép từ với hình đúng</t>
        </is>
      </c>
      <c r="K456" s="3" t="inlineStr">
        <is>
          <t>bướm ↔ ? / hoa ↔ ? / thước ↔ ?</t>
        </is>
      </c>
      <c r="L456" s="3" t="inlineStr">
        <is>
          <t>bướm – 🦋; hoa – 🌸; thước – 📏</t>
        </is>
      </c>
      <c r="M456" s="3" t="inlineStr">
        <is>
          <t>con bướm, bông hoa, cái thước.</t>
        </is>
      </c>
      <c r="N456" s="3" t="n"/>
      <c r="O456" s="14" t="n">
        <v>55</v>
      </c>
      <c r="P456" s="14">
        <f>INDEX(Khung_cap_do!$H$2:$H$6,H456)</f>
        <v/>
      </c>
      <c r="Q456" s="3" t="inlineStr">
        <is>
          <t>V1.DOC.05</t>
        </is>
      </c>
      <c r="R456" s="3" t="inlineStr">
        <is>
          <t>TV.NOITU</t>
        </is>
      </c>
    </row>
    <row r="457">
      <c r="A457" s="3" t="inlineStr">
        <is>
          <t>tv1-kntt-t15-q5</t>
        </is>
      </c>
      <c r="B457" s="3" t="inlineStr">
        <is>
          <t>Tiếng Việt</t>
        </is>
      </c>
      <c r="C457" s="3" t="inlineStr">
        <is>
          <t>Kết nối tri thức</t>
        </is>
      </c>
      <c r="D457" s="3" t="inlineStr">
        <is>
          <t>Tuần 15 (Bài 71–75)</t>
        </is>
      </c>
      <c r="E457" s="3" t="inlineStr">
        <is>
          <t>Phần 2. Vần (tuần 7–16)</t>
        </is>
      </c>
      <c r="F457" s="3" t="inlineStr">
        <is>
          <t>Tuần 15: ươc, ươt, ươm, ươp, ươn, ương, oa, oe</t>
        </is>
      </c>
      <c r="G457" s="3" t="inlineStr">
        <is>
          <t>Điền đáp án</t>
        </is>
      </c>
      <c r="H457" s="14" t="n">
        <v>2</v>
      </c>
      <c r="I457" s="3" t="inlineStr">
        <is>
          <t>Cơ bản</t>
        </is>
      </c>
      <c r="J457" s="3" t="inlineStr">
        <is>
          <t>Ghép âm m với vần ươp và dấu sắc. Được tiếng gì?</t>
        </is>
      </c>
      <c r="K457" s="3" t="inlineStr"/>
      <c r="L457" s="3" t="inlineStr">
        <is>
          <t>mướp</t>
        </is>
      </c>
      <c r="M457" s="3" t="inlineStr">
        <is>
          <t>m – ươp – mươp – sắc – mướp.</t>
        </is>
      </c>
      <c r="N457" s="3" t="n"/>
      <c r="O457" s="14" t="n">
        <v>50</v>
      </c>
      <c r="P457" s="14">
        <f>INDEX(Khung_cap_do!$H$2:$H$6,H457)</f>
        <v/>
      </c>
      <c r="Q457" s="3" t="inlineStr">
        <is>
          <t>V1.DOC.01</t>
        </is>
      </c>
      <c r="R457" s="3" t="inlineStr">
        <is>
          <t>TV.GHEPVAN</t>
        </is>
      </c>
    </row>
    <row r="458">
      <c r="A458" s="3" t="inlineStr">
        <is>
          <t>tv1-kntt-t15-q6</t>
        </is>
      </c>
      <c r="B458" s="3" t="inlineStr">
        <is>
          <t>Tiếng Việt</t>
        </is>
      </c>
      <c r="C458" s="3" t="inlineStr">
        <is>
          <t>Kết nối tri thức</t>
        </is>
      </c>
      <c r="D458" s="3" t="inlineStr">
        <is>
          <t>Tuần 15 (Bài 71–75)</t>
        </is>
      </c>
      <c r="E458" s="3" t="inlineStr">
        <is>
          <t>Phần 2. Vần (tuần 7–16)</t>
        </is>
      </c>
      <c r="F458" s="3" t="inlineStr">
        <is>
          <t>Tuần 15: ươc, ươt, ươm, ươp, ươn, ương, oa, oe</t>
        </is>
      </c>
      <c r="G458" s="3" t="inlineStr">
        <is>
          <t>Sắp xếp</t>
        </is>
      </c>
      <c r="H458" s="14" t="n">
        <v>2</v>
      </c>
      <c r="I458" s="3" t="inlineStr">
        <is>
          <t>Cơ bản</t>
        </is>
      </c>
      <c r="J458" s="3" t="inlineStr">
        <is>
          <t>Sắp xếp các tiếng thành câu</t>
        </is>
      </c>
      <c r="K458" s="3" t="inlineStr">
        <is>
          <t>Vườn / có / em / hoa / nhà</t>
        </is>
      </c>
      <c r="L458" s="3" t="inlineStr">
        <is>
          <t>Vườn → nhà → em → có → hoa</t>
        </is>
      </c>
      <c r="M458" s="3" t="inlineStr">
        <is>
          <t>Câu đúng: Vườn nhà em có hoa.</t>
        </is>
      </c>
      <c r="N458" s="3" t="n"/>
      <c r="O458" s="14" t="n">
        <v>55</v>
      </c>
      <c r="P458" s="14">
        <f>INDEX(Khung_cap_do!$H$2:$H$6,H458)</f>
        <v/>
      </c>
      <c r="Q458" s="3" t="inlineStr">
        <is>
          <t>V1.DOC.01</t>
        </is>
      </c>
      <c r="R458" s="3" t="inlineStr">
        <is>
          <t>TV.XEPCAU</t>
        </is>
      </c>
    </row>
    <row r="459">
      <c r="A459" s="3" t="inlineStr">
        <is>
          <t>tv1-kntt-t15-q7</t>
        </is>
      </c>
      <c r="B459" s="3" t="inlineStr">
        <is>
          <t>Tiếng Việt</t>
        </is>
      </c>
      <c r="C459" s="3" t="inlineStr">
        <is>
          <t>Kết nối tri thức</t>
        </is>
      </c>
      <c r="D459" s="3" t="inlineStr">
        <is>
          <t>Tuần 15 (Bài 71–75)</t>
        </is>
      </c>
      <c r="E459" s="3" t="inlineStr">
        <is>
          <t>Phần 2. Vần (tuần 7–16)</t>
        </is>
      </c>
      <c r="F459" s="3" t="inlineStr">
        <is>
          <t>Tuần 15: ươc, ươt, ươm, ươp, ươn, ương, oa, oe</t>
        </is>
      </c>
      <c r="G459" s="3" t="inlineStr">
        <is>
          <t>Chọn đáp án</t>
        </is>
      </c>
      <c r="H459" s="14" t="n">
        <v>3</v>
      </c>
      <c r="I459" s="3" t="inlineStr">
        <is>
          <t>Vận dụng</t>
        </is>
      </c>
      <c r="J459" s="3" t="inlineStr">
        <is>
          <t>Đọc câu: 'Sáng sớm, bé ra vườn tưới hoa.' Bé làm gì?</t>
        </is>
      </c>
      <c r="K459" s="3" t="inlineStr">
        <is>
          <t>A. tưới hoa | B. hái quả | C. xem bướm</t>
        </is>
      </c>
      <c r="L459" s="3" t="inlineStr">
        <is>
          <t>A</t>
        </is>
      </c>
      <c r="M459" s="3" t="inlineStr">
        <is>
          <t>Bé ra vườn tưới hoa.</t>
        </is>
      </c>
      <c r="N459" s="3" t="inlineStr">
        <is>
          <t>Câu nói 'bé ra vườn tưới hoa'. Hai tiếng 'tưới hoa' cho biết bé làm gì.</t>
        </is>
      </c>
      <c r="O459" s="14" t="n">
        <v>50</v>
      </c>
      <c r="P459" s="14">
        <f>INDEX(Khung_cap_do!$H$2:$H$6,H459)</f>
        <v/>
      </c>
      <c r="Q459" s="3" t="inlineStr">
        <is>
          <t>V1.DOC.04</t>
        </is>
      </c>
      <c r="R459" s="3" t="inlineStr">
        <is>
          <t>TV.DOCHIEU</t>
        </is>
      </c>
    </row>
    <row r="460">
      <c r="A460" s="3" t="inlineStr">
        <is>
          <t>tv1-kntt-t15-q8</t>
        </is>
      </c>
      <c r="B460" s="3" t="inlineStr">
        <is>
          <t>Tiếng Việt</t>
        </is>
      </c>
      <c r="C460" s="3" t="inlineStr">
        <is>
          <t>Kết nối tri thức</t>
        </is>
      </c>
      <c r="D460" s="3" t="inlineStr">
        <is>
          <t>Tuần 15 (Bài 71–75)</t>
        </is>
      </c>
      <c r="E460" s="3" t="inlineStr">
        <is>
          <t>Phần 2. Vần (tuần 7–16)</t>
        </is>
      </c>
      <c r="F460" s="3" t="inlineStr">
        <is>
          <t>Tuần 15: ươc, ươt, ươm, ươp, ươn, ương, oa, oe</t>
        </is>
      </c>
      <c r="G460" s="3" t="inlineStr">
        <is>
          <t>Đúng / Sai</t>
        </is>
      </c>
      <c r="H460" s="14" t="n">
        <v>1</v>
      </c>
      <c r="I460" s="3" t="inlineStr">
        <is>
          <t>Làm quen</t>
        </is>
      </c>
      <c r="J460" s="3" t="inlineStr">
        <is>
          <t>Tiếng 'thước' có vần ươc. Đúng hay sai?</t>
        </is>
      </c>
      <c r="K460" s="3" t="inlineStr">
        <is>
          <t>A. Đúng | B. Sai</t>
        </is>
      </c>
      <c r="L460" s="3" t="inlineStr">
        <is>
          <t>A</t>
        </is>
      </c>
      <c r="M460" s="3" t="inlineStr">
        <is>
          <t>'thước' = th + ươc, dấu sắc.</t>
        </is>
      </c>
      <c r="N460" s="3" t="n"/>
      <c r="O460" s="14" t="n">
        <v>30</v>
      </c>
      <c r="P460" s="14">
        <f>INDEX(Khung_cap_do!$H$2:$H$6,H460)</f>
        <v/>
      </c>
      <c r="Q460" s="3" t="inlineStr">
        <is>
          <t>V1.AM.03</t>
        </is>
      </c>
      <c r="R460" s="3" t="inlineStr">
        <is>
          <t>TV.GHEPVAN</t>
        </is>
      </c>
    </row>
    <row r="461">
      <c r="A461" s="3" t="inlineStr">
        <is>
          <t>tv1-kntt-t15-q9</t>
        </is>
      </c>
      <c r="B461" s="3" t="inlineStr">
        <is>
          <t>Tiếng Việt</t>
        </is>
      </c>
      <c r="C461" s="3" t="inlineStr">
        <is>
          <t>Kết nối tri thức</t>
        </is>
      </c>
      <c r="D461" s="3" t="inlineStr">
        <is>
          <t>Tuần 15 (Bài 71–75)</t>
        </is>
      </c>
      <c r="E461" s="3" t="inlineStr">
        <is>
          <t>Phần 2. Vần (tuần 7–16)</t>
        </is>
      </c>
      <c r="F461" s="3" t="inlineStr">
        <is>
          <t>Tuần 15: ươc, ươt, ươm, ươp, ươn, ương, oa, oe</t>
        </is>
      </c>
      <c r="G461" s="3" t="inlineStr">
        <is>
          <t>Chọn đáp án</t>
        </is>
      </c>
      <c r="H461" s="14" t="n">
        <v>1</v>
      </c>
      <c r="I461" s="3" t="inlineStr">
        <is>
          <t>Làm quen</t>
        </is>
      </c>
      <c r="J461" s="3" t="inlineStr">
        <is>
          <t>Bé soi vào đâu để thấy mặt mình?</t>
        </is>
      </c>
      <c r="K461" s="3" t="inlineStr">
        <is>
          <t>A. cái gương | B. cái thước | C. cái loa</t>
        </is>
      </c>
      <c r="L461" s="3" t="inlineStr">
        <is>
          <t>A</t>
        </is>
      </c>
      <c r="M461" s="3" t="inlineStr">
        <is>
          <t>Soi gương thì thấy mặt mình.</t>
        </is>
      </c>
      <c r="N461" s="3" t="n"/>
      <c r="O461" s="14" t="n">
        <v>30</v>
      </c>
      <c r="P461" s="14">
        <f>INDEX(Khung_cap_do!$H$2:$H$6,H461)</f>
        <v/>
      </c>
      <c r="Q461" s="3" t="inlineStr">
        <is>
          <t>V1.VIET.04</t>
        </is>
      </c>
      <c r="R461" s="3" t="inlineStr">
        <is>
          <t>TV.NOITU</t>
        </is>
      </c>
    </row>
    <row r="462">
      <c r="A462" s="3" t="inlineStr">
        <is>
          <t>tv1-kntt-t15-q10</t>
        </is>
      </c>
      <c r="B462" s="3" t="inlineStr">
        <is>
          <t>Tiếng Việt</t>
        </is>
      </c>
      <c r="C462" s="3" t="inlineStr">
        <is>
          <t>Kết nối tri thức</t>
        </is>
      </c>
      <c r="D462" s="3" t="inlineStr">
        <is>
          <t>Tuần 15 (Bài 71–75)</t>
        </is>
      </c>
      <c r="E462" s="3" t="inlineStr">
        <is>
          <t>Phần 2. Vần (tuần 7–16)</t>
        </is>
      </c>
      <c r="F462" s="3" t="inlineStr">
        <is>
          <t>Tuần 15: ươc, ươt, ươm, ươp, ươn, ương, oa, oe</t>
        </is>
      </c>
      <c r="G462" s="3" t="inlineStr">
        <is>
          <t>Chọn nhiều đáp án</t>
        </is>
      </c>
      <c r="H462" s="14" t="n">
        <v>2</v>
      </c>
      <c r="I462" s="3" t="inlineStr">
        <is>
          <t>Cơ bản</t>
        </is>
      </c>
      <c r="J462" s="3" t="inlineStr">
        <is>
          <t>Chọn TẤT CẢ các từ chỉ con vật</t>
        </is>
      </c>
      <c r="K462" s="3" t="inlineStr">
        <is>
          <t>A. bướm | B. lươn | C. mướp | D. hoa | E. vượn</t>
        </is>
      </c>
      <c r="L462" s="3" t="inlineStr">
        <is>
          <t>A, B, E</t>
        </is>
      </c>
      <c r="M462" s="3" t="inlineStr">
        <is>
          <t>bướm, lươn, vượn là con vật; mướp, hoa là cây, hoa.</t>
        </is>
      </c>
      <c r="N462" s="3" t="n"/>
      <c r="O462" s="14" t="n">
        <v>50</v>
      </c>
      <c r="P462" s="14">
        <f>INDEX(Khung_cap_do!$H$2:$H$6,H462)</f>
        <v/>
      </c>
      <c r="Q462" s="3" t="inlineStr">
        <is>
          <t>V1.VIET.04</t>
        </is>
      </c>
      <c r="R462" s="3" t="inlineStr">
        <is>
          <t>TV.TUNGU</t>
        </is>
      </c>
    </row>
    <row r="463">
      <c r="A463" s="3" t="inlineStr">
        <is>
          <t>tv1-kntt-t16-q1</t>
        </is>
      </c>
      <c r="B463" s="3" t="inlineStr">
        <is>
          <t>Tiếng Việt</t>
        </is>
      </c>
      <c r="C463" s="3" t="inlineStr">
        <is>
          <t>Kết nối tri thức</t>
        </is>
      </c>
      <c r="D463" s="3" t="inlineStr">
        <is>
          <t>Tuần 16 (Bài 76–80)</t>
        </is>
      </c>
      <c r="E463" s="3" t="inlineStr">
        <is>
          <t>Phần 2. Vần (tuần 7–16)</t>
        </is>
      </c>
      <c r="F463" s="3" t="inlineStr">
        <is>
          <t>Tuần 16: oan, oăn, oat, oăt, oai, uê, uy, uân, uât, uyên, uyêt</t>
        </is>
      </c>
      <c r="G463" s="3" t="inlineStr">
        <is>
          <t>Chọn đáp án</t>
        </is>
      </c>
      <c r="H463" s="14" t="n">
        <v>1</v>
      </c>
      <c r="I463" s="3" t="inlineStr">
        <is>
          <t>Làm quen</t>
        </is>
      </c>
      <c r="J463" s="3" t="inlineStr">
        <is>
          <t>Tiếng 'xoài' có vần gì?</t>
        </is>
      </c>
      <c r="K463" s="3" t="inlineStr">
        <is>
          <t>A. oai | B. oa | C. ai</t>
        </is>
      </c>
      <c r="L463" s="3" t="inlineStr">
        <is>
          <t>A</t>
        </is>
      </c>
      <c r="M463" s="3" t="inlineStr">
        <is>
          <t>'xoài' = x + oai, dấu huyền.</t>
        </is>
      </c>
      <c r="N463" s="3" t="n"/>
      <c r="O463" s="14" t="n">
        <v>30</v>
      </c>
      <c r="P463" s="14">
        <f>INDEX(Khung_cap_do!$H$2:$H$6,H463)</f>
        <v/>
      </c>
      <c r="Q463" s="3" t="inlineStr">
        <is>
          <t>V1.AM.03</t>
        </is>
      </c>
      <c r="R463" s="3" t="inlineStr">
        <is>
          <t>TV.GHEPVAN</t>
        </is>
      </c>
    </row>
    <row r="464">
      <c r="A464" s="3" t="inlineStr">
        <is>
          <t>tv1-kntt-t16-q2</t>
        </is>
      </c>
      <c r="B464" s="3" t="inlineStr">
        <is>
          <t>Tiếng Việt</t>
        </is>
      </c>
      <c r="C464" s="3" t="inlineStr">
        <is>
          <t>Kết nối tri thức</t>
        </is>
      </c>
      <c r="D464" s="3" t="inlineStr">
        <is>
          <t>Tuần 16 (Bài 76–80)</t>
        </is>
      </c>
      <c r="E464" s="3" t="inlineStr">
        <is>
          <t>Phần 2. Vần (tuần 7–16)</t>
        </is>
      </c>
      <c r="F464" s="3" t="inlineStr">
        <is>
          <t>Tuần 16: oan, oăn, oat, oăt, oai, uê, uy, uân, uât, uyên, uyêt</t>
        </is>
      </c>
      <c r="G464" s="3" t="inlineStr">
        <is>
          <t>Chọn đáp án</t>
        </is>
      </c>
      <c r="H464" s="14" t="n">
        <v>2</v>
      </c>
      <c r="I464" s="3" t="inlineStr">
        <is>
          <t>Cơ bản</t>
        </is>
      </c>
      <c r="J464" s="3" t="inlineStr">
        <is>
          <t>Điền uân hay uât: mùa x...</t>
        </is>
      </c>
      <c r="K464" s="3" t="inlineStr">
        <is>
          <t>A. uân | B. uât</t>
        </is>
      </c>
      <c r="L464" s="3" t="inlineStr">
        <is>
          <t>A</t>
        </is>
      </c>
      <c r="M464" s="3" t="inlineStr">
        <is>
          <t>mùa xuân: vần uân.</t>
        </is>
      </c>
      <c r="N464" s="3" t="n"/>
      <c r="O464" s="14" t="n">
        <v>40</v>
      </c>
      <c r="P464" s="14">
        <f>INDEX(Khung_cap_do!$H$2:$H$6,H464)</f>
        <v/>
      </c>
      <c r="Q464" s="3" t="inlineStr">
        <is>
          <t>V1.AM.03</t>
        </is>
      </c>
      <c r="R464" s="3" t="inlineStr">
        <is>
          <t>TV.GHEPVAN</t>
        </is>
      </c>
    </row>
    <row r="465">
      <c r="A465" s="3" t="inlineStr">
        <is>
          <t>tv1-kntt-t16-q3</t>
        </is>
      </c>
      <c r="B465" s="3" t="inlineStr">
        <is>
          <t>Tiếng Việt</t>
        </is>
      </c>
      <c r="C465" s="3" t="inlineStr">
        <is>
          <t>Kết nối tri thức</t>
        </is>
      </c>
      <c r="D465" s="3" t="inlineStr">
        <is>
          <t>Tuần 16 (Bài 76–80)</t>
        </is>
      </c>
      <c r="E465" s="3" t="inlineStr">
        <is>
          <t>Phần 2. Vần (tuần 7–16)</t>
        </is>
      </c>
      <c r="F465" s="3" t="inlineStr">
        <is>
          <t>Tuần 16: oan, oăn, oat, oăt, oai, uê, uy, uân, uât, uyên, uyêt</t>
        </is>
      </c>
      <c r="G465" s="3" t="inlineStr">
        <is>
          <t>Chọn nhiều đáp án</t>
        </is>
      </c>
      <c r="H465" s="14" t="n">
        <v>2</v>
      </c>
      <c r="I465" s="3" t="inlineStr">
        <is>
          <t>Cơ bản</t>
        </is>
      </c>
      <c r="J465" s="3" t="inlineStr">
        <is>
          <t>Chọn TẤT CẢ các tiếng có vần uyên</t>
        </is>
      </c>
      <c r="K465" s="3" t="inlineStr">
        <is>
          <t>A. thuyền | B. chuyện | C. khuyết | D. truyện | E. tuyết</t>
        </is>
      </c>
      <c r="L465" s="3" t="inlineStr">
        <is>
          <t>A, B, D</t>
        </is>
      </c>
      <c r="M465" s="3" t="inlineStr">
        <is>
          <t>'thuyền', 'chuyện', 'truyện' có uyên; 'khuyết', 'tuyết' có uyêt.</t>
        </is>
      </c>
      <c r="N465" s="3" t="n"/>
      <c r="O465" s="14" t="n">
        <v>50</v>
      </c>
      <c r="P465" s="14">
        <f>INDEX(Khung_cap_do!$H$2:$H$6,H465)</f>
        <v/>
      </c>
      <c r="Q465" s="3" t="inlineStr">
        <is>
          <t>V1.AM.03</t>
        </is>
      </c>
      <c r="R465" s="3" t="inlineStr">
        <is>
          <t>TV.GHEPVAN</t>
        </is>
      </c>
    </row>
    <row r="466">
      <c r="A466" s="3" t="inlineStr">
        <is>
          <t>tv1-kntt-t16-q4</t>
        </is>
      </c>
      <c r="B466" s="3" t="inlineStr">
        <is>
          <t>Tiếng Việt</t>
        </is>
      </c>
      <c r="C466" s="3" t="inlineStr">
        <is>
          <t>Kết nối tri thức</t>
        </is>
      </c>
      <c r="D466" s="3" t="inlineStr">
        <is>
          <t>Tuần 16 (Bài 76–80)</t>
        </is>
      </c>
      <c r="E466" s="3" t="inlineStr">
        <is>
          <t>Phần 2. Vần (tuần 7–16)</t>
        </is>
      </c>
      <c r="F466" s="3" t="inlineStr">
        <is>
          <t>Tuần 16: oan, oăn, oat, oăt, oai, uê, uy, uân, uât, uyên, uyêt</t>
        </is>
      </c>
      <c r="G466" s="3" t="inlineStr">
        <is>
          <t>Ghép cặp</t>
        </is>
      </c>
      <c r="H466" s="14" t="n">
        <v>2</v>
      </c>
      <c r="I466" s="3" t="inlineStr">
        <is>
          <t>Cơ bản</t>
        </is>
      </c>
      <c r="J466" s="3" t="inlineStr">
        <is>
          <t>Ghép từ với hình đúng</t>
        </is>
      </c>
      <c r="K466" s="3" t="inlineStr">
        <is>
          <t>xoài ↔ ? / thuyền ↔ ? / tuyết ↔ ?</t>
        </is>
      </c>
      <c r="L466" s="3" t="inlineStr">
        <is>
          <t>xoài – 🥭; thuyền – ⛵; tuyết – ❄️</t>
        </is>
      </c>
      <c r="M466" s="3" t="inlineStr">
        <is>
          <t>quả xoài, con thuyền, bông tuyết.</t>
        </is>
      </c>
      <c r="N466" s="3" t="n"/>
      <c r="O466" s="14" t="n">
        <v>55</v>
      </c>
      <c r="P466" s="14">
        <f>INDEX(Khung_cap_do!$H$2:$H$6,H466)</f>
        <v/>
      </c>
      <c r="Q466" s="3" t="inlineStr">
        <is>
          <t>V1.DOC.05</t>
        </is>
      </c>
      <c r="R466" s="3" t="inlineStr">
        <is>
          <t>TV.NOITU</t>
        </is>
      </c>
    </row>
    <row r="467">
      <c r="A467" s="3" t="inlineStr">
        <is>
          <t>tv1-kntt-t16-q5</t>
        </is>
      </c>
      <c r="B467" s="3" t="inlineStr">
        <is>
          <t>Tiếng Việt</t>
        </is>
      </c>
      <c r="C467" s="3" t="inlineStr">
        <is>
          <t>Kết nối tri thức</t>
        </is>
      </c>
      <c r="D467" s="3" t="inlineStr">
        <is>
          <t>Tuần 16 (Bài 76–80)</t>
        </is>
      </c>
      <c r="E467" s="3" t="inlineStr">
        <is>
          <t>Phần 2. Vần (tuần 7–16)</t>
        </is>
      </c>
      <c r="F467" s="3" t="inlineStr">
        <is>
          <t>Tuần 16: oan, oăn, oat, oăt, oai, uê, uy, uân, uât, uyên, uyêt</t>
        </is>
      </c>
      <c r="G467" s="3" t="inlineStr">
        <is>
          <t>Điền đáp án</t>
        </is>
      </c>
      <c r="H467" s="14" t="n">
        <v>2</v>
      </c>
      <c r="I467" s="3" t="inlineStr">
        <is>
          <t>Cơ bản</t>
        </is>
      </c>
      <c r="J467" s="3" t="inlineStr">
        <is>
          <t>Ghép âm x với vần oăn. Được tiếng gì?</t>
        </is>
      </c>
      <c r="K467" s="3" t="inlineStr"/>
      <c r="L467" s="3" t="inlineStr">
        <is>
          <t>xoăn</t>
        </is>
      </c>
      <c r="M467" s="3" t="inlineStr">
        <is>
          <t>x – oăn – xoăn.</t>
        </is>
      </c>
      <c r="N467" s="3" t="n"/>
      <c r="O467" s="14" t="n">
        <v>50</v>
      </c>
      <c r="P467" s="14">
        <f>INDEX(Khung_cap_do!$H$2:$H$6,H467)</f>
        <v/>
      </c>
      <c r="Q467" s="3" t="inlineStr">
        <is>
          <t>V1.DOC.01</t>
        </is>
      </c>
      <c r="R467" s="3" t="inlineStr">
        <is>
          <t>TV.GHEPVAN</t>
        </is>
      </c>
    </row>
    <row r="468">
      <c r="A468" s="3" t="inlineStr">
        <is>
          <t>tv1-kntt-t16-q6</t>
        </is>
      </c>
      <c r="B468" s="3" t="inlineStr">
        <is>
          <t>Tiếng Việt</t>
        </is>
      </c>
      <c r="C468" s="3" t="inlineStr">
        <is>
          <t>Kết nối tri thức</t>
        </is>
      </c>
      <c r="D468" s="3" t="inlineStr">
        <is>
          <t>Tuần 16 (Bài 76–80)</t>
        </is>
      </c>
      <c r="E468" s="3" t="inlineStr">
        <is>
          <t>Phần 2. Vần (tuần 7–16)</t>
        </is>
      </c>
      <c r="F468" s="3" t="inlineStr">
        <is>
          <t>Tuần 16: oan, oăn, oat, oăt, oai, uê, uy, uân, uât, uyên, uyêt</t>
        </is>
      </c>
      <c r="G468" s="3" t="inlineStr">
        <is>
          <t>Sắp xếp</t>
        </is>
      </c>
      <c r="H468" s="14" t="n">
        <v>2</v>
      </c>
      <c r="I468" s="3" t="inlineStr">
        <is>
          <t>Cơ bản</t>
        </is>
      </c>
      <c r="J468" s="3" t="inlineStr">
        <is>
          <t>Sắp xếp các tiếng thành câu</t>
        </is>
      </c>
      <c r="K468" s="3" t="inlineStr">
        <is>
          <t>Mùa / hoa / nở / xuân</t>
        </is>
      </c>
      <c r="L468" s="3" t="inlineStr">
        <is>
          <t>Mùa → xuân → hoa → nở</t>
        </is>
      </c>
      <c r="M468" s="3" t="inlineStr">
        <is>
          <t>Câu đúng: Mùa xuân hoa nở.</t>
        </is>
      </c>
      <c r="N468" s="3" t="n"/>
      <c r="O468" s="14" t="n">
        <v>55</v>
      </c>
      <c r="P468" s="14">
        <f>INDEX(Khung_cap_do!$H$2:$H$6,H468)</f>
        <v/>
      </c>
      <c r="Q468" s="3" t="inlineStr">
        <is>
          <t>V1.DOC.01</t>
        </is>
      </c>
      <c r="R468" s="3" t="inlineStr">
        <is>
          <t>TV.XEPCAU</t>
        </is>
      </c>
    </row>
    <row r="469">
      <c r="A469" s="3" t="inlineStr">
        <is>
          <t>tv1-kntt-t16-q7</t>
        </is>
      </c>
      <c r="B469" s="3" t="inlineStr">
        <is>
          <t>Tiếng Việt</t>
        </is>
      </c>
      <c r="C469" s="3" t="inlineStr">
        <is>
          <t>Kết nối tri thức</t>
        </is>
      </c>
      <c r="D469" s="3" t="inlineStr">
        <is>
          <t>Tuần 16 (Bài 76–80)</t>
        </is>
      </c>
      <c r="E469" s="3" t="inlineStr">
        <is>
          <t>Phần 2. Vần (tuần 7–16)</t>
        </is>
      </c>
      <c r="F469" s="3" t="inlineStr">
        <is>
          <t>Tuần 16: oan, oăn, oat, oăt, oai, uê, uy, uân, uât, uyên, uyêt</t>
        </is>
      </c>
      <c r="G469" s="3" t="inlineStr">
        <is>
          <t>Chọn đáp án</t>
        </is>
      </c>
      <c r="H469" s="14" t="n">
        <v>3</v>
      </c>
      <c r="I469" s="3" t="inlineStr">
        <is>
          <t>Vận dụng</t>
        </is>
      </c>
      <c r="J469" s="3" t="inlineStr">
        <is>
          <t>Đọc câu: 'Bé có mái tóc xoăn. Mẹ buộc tóc cho bé.' Tóc của bé thế nào?</t>
        </is>
      </c>
      <c r="K469" s="3" t="inlineStr">
        <is>
          <t>A. xoăn | B. thẳng | C. dài</t>
        </is>
      </c>
      <c r="L469" s="3" t="inlineStr">
        <is>
          <t>A</t>
        </is>
      </c>
      <c r="M469" s="3" t="inlineStr">
        <is>
          <t>Bé có mái tóc xoăn.</t>
        </is>
      </c>
      <c r="N469" s="3" t="inlineStr">
        <is>
          <t>Câu đầu: 'Bé có mái tóc xoăn.' Tiếng 'xoăn' cho biết tóc bé thế nào.</t>
        </is>
      </c>
      <c r="O469" s="14" t="n">
        <v>60</v>
      </c>
      <c r="P469" s="14">
        <f>INDEX(Khung_cap_do!$H$2:$H$6,H469)</f>
        <v/>
      </c>
      <c r="Q469" s="3" t="inlineStr">
        <is>
          <t>V1.DOC.04</t>
        </is>
      </c>
      <c r="R469" s="3" t="inlineStr">
        <is>
          <t>TV.DOCHIEU</t>
        </is>
      </c>
    </row>
    <row r="470">
      <c r="A470" s="3" t="inlineStr">
        <is>
          <t>tv1-kntt-t16-q8</t>
        </is>
      </c>
      <c r="B470" s="3" t="inlineStr">
        <is>
          <t>Tiếng Việt</t>
        </is>
      </c>
      <c r="C470" s="3" t="inlineStr">
        <is>
          <t>Kết nối tri thức</t>
        </is>
      </c>
      <c r="D470" s="3" t="inlineStr">
        <is>
          <t>Tuần 16 (Bài 76–80)</t>
        </is>
      </c>
      <c r="E470" s="3" t="inlineStr">
        <is>
          <t>Phần 2. Vần (tuần 7–16)</t>
        </is>
      </c>
      <c r="F470" s="3" t="inlineStr">
        <is>
          <t>Tuần 16: oan, oăn, oat, oăt, oai, uê, uy, uân, uât, uyên, uyêt</t>
        </is>
      </c>
      <c r="G470" s="3" t="inlineStr">
        <is>
          <t>Đúng / Sai</t>
        </is>
      </c>
      <c r="H470" s="14" t="n">
        <v>1</v>
      </c>
      <c r="I470" s="3" t="inlineStr">
        <is>
          <t>Làm quen</t>
        </is>
      </c>
      <c r="J470" s="3" t="inlineStr">
        <is>
          <t>Tiếng 'khoan' có vần oan. Đúng hay sai?</t>
        </is>
      </c>
      <c r="K470" s="3" t="inlineStr">
        <is>
          <t>A. Đúng | B. Sai</t>
        </is>
      </c>
      <c r="L470" s="3" t="inlineStr">
        <is>
          <t>A</t>
        </is>
      </c>
      <c r="M470" s="3" t="inlineStr">
        <is>
          <t>'khoan' = kh + oan.</t>
        </is>
      </c>
      <c r="N470" s="3" t="n"/>
      <c r="O470" s="14" t="n">
        <v>30</v>
      </c>
      <c r="P470" s="14">
        <f>INDEX(Khung_cap_do!$H$2:$H$6,H470)</f>
        <v/>
      </c>
      <c r="Q470" s="3" t="inlineStr">
        <is>
          <t>V1.AM.03</t>
        </is>
      </c>
      <c r="R470" s="3" t="inlineStr">
        <is>
          <t>TV.GHEPVAN</t>
        </is>
      </c>
    </row>
    <row r="471">
      <c r="A471" s="3" t="inlineStr">
        <is>
          <t>tv1-kntt-t16-q9</t>
        </is>
      </c>
      <c r="B471" s="3" t="inlineStr">
        <is>
          <t>Tiếng Việt</t>
        </is>
      </c>
      <c r="C471" s="3" t="inlineStr">
        <is>
          <t>Kết nối tri thức</t>
        </is>
      </c>
      <c r="D471" s="3" t="inlineStr">
        <is>
          <t>Tuần 16 (Bài 76–80)</t>
        </is>
      </c>
      <c r="E471" s="3" t="inlineStr">
        <is>
          <t>Phần 2. Vần (tuần 7–16)</t>
        </is>
      </c>
      <c r="F471" s="3" t="inlineStr">
        <is>
          <t>Tuần 16: oan, oăn, oat, oăt, oai, uê, uy, uân, uât, uyên, uyêt</t>
        </is>
      </c>
      <c r="G471" s="3" t="inlineStr">
        <is>
          <t>Chọn đáp án</t>
        </is>
      </c>
      <c r="H471" s="14" t="n">
        <v>3</v>
      </c>
      <c r="I471" s="3" t="inlineStr">
        <is>
          <t>Vận dụng</t>
        </is>
      </c>
      <c r="J471" s="3" t="inlineStr">
        <is>
          <t>Mùa nào có hoa đào nở và có Tết?</t>
        </is>
      </c>
      <c r="K471" s="3" t="inlineStr">
        <is>
          <t>A. mùa xuân | B. mùa thu | C. mùa đông</t>
        </is>
      </c>
      <c r="L471" s="3" t="inlineStr">
        <is>
          <t>A</t>
        </is>
      </c>
      <c r="M471" s="3" t="inlineStr">
        <is>
          <t>Tết đến vào mùa xuân, hoa đào nở.</t>
        </is>
      </c>
      <c r="N471" s="3" t="inlineStr">
        <is>
          <t>Tết Nguyên đán đến vào mùa xuân, khi hoa đào nở. Chọn 'mùa xuân'.</t>
        </is>
      </c>
      <c r="O471" s="14" t="n">
        <v>50</v>
      </c>
      <c r="P471" s="14">
        <f>INDEX(Khung_cap_do!$H$2:$H$6,H471)</f>
        <v/>
      </c>
      <c r="Q471" s="3" t="inlineStr">
        <is>
          <t>V1.VIET.04</t>
        </is>
      </c>
      <c r="R471" s="3" t="inlineStr">
        <is>
          <t>TV.NOITU</t>
        </is>
      </c>
    </row>
    <row r="472">
      <c r="A472" s="3" t="inlineStr">
        <is>
          <t>tv1-kntt-t16-q10</t>
        </is>
      </c>
      <c r="B472" s="3" t="inlineStr">
        <is>
          <t>Tiếng Việt</t>
        </is>
      </c>
      <c r="C472" s="3" t="inlineStr">
        <is>
          <t>Kết nối tri thức</t>
        </is>
      </c>
      <c r="D472" s="3" t="inlineStr">
        <is>
          <t>Tuần 16 (Bài 76–80)</t>
        </is>
      </c>
      <c r="E472" s="3" t="inlineStr">
        <is>
          <t>Phần 2. Vần (tuần 7–16)</t>
        </is>
      </c>
      <c r="F472" s="3" t="inlineStr">
        <is>
          <t>Tuần 16: oan, oăn, oat, oăt, oai, uê, uy, uân, uât, uyên, uyêt</t>
        </is>
      </c>
      <c r="G472" s="3" t="inlineStr">
        <is>
          <t>Chọn đáp án</t>
        </is>
      </c>
      <c r="H472" s="14" t="n">
        <v>1</v>
      </c>
      <c r="I472" s="3" t="inlineStr">
        <is>
          <t>Làm quen</t>
        </is>
      </c>
      <c r="J472" s="3" t="inlineStr">
        <is>
          <t>Cái gì đi trên mặt nước?</t>
        </is>
      </c>
      <c r="K472" s="3" t="inlineStr">
        <is>
          <t>A. thuyền | B. xe | C. ngựa</t>
        </is>
      </c>
      <c r="L472" s="3" t="inlineStr">
        <is>
          <t>A</t>
        </is>
      </c>
      <c r="M472" s="3" t="inlineStr">
        <is>
          <t>Thuyền đi trên mặt nước.</t>
        </is>
      </c>
      <c r="N472" s="3" t="n"/>
      <c r="O472" s="14" t="n">
        <v>30</v>
      </c>
      <c r="P472" s="14">
        <f>INDEX(Khung_cap_do!$H$2:$H$6,H472)</f>
        <v/>
      </c>
      <c r="Q472" s="3" t="inlineStr">
        <is>
          <t>V1.VIET.04</t>
        </is>
      </c>
      <c r="R472" s="3" t="inlineStr">
        <is>
          <t>TV.NOITU</t>
        </is>
      </c>
    </row>
    <row r="473">
      <c r="A473" s="3" t="inlineStr">
        <is>
          <t>tv1-kntt-t17-q1</t>
        </is>
      </c>
      <c r="B473" s="3" t="inlineStr">
        <is>
          <t>Tiếng Việt</t>
        </is>
      </c>
      <c r="C473" s="3" t="inlineStr">
        <is>
          <t>Kết nối tri thức</t>
        </is>
      </c>
      <c r="D473" s="3" t="inlineStr">
        <is>
          <t>Tuần 17 (Bài 81–83)</t>
        </is>
      </c>
      <c r="E473" s="3" t="inlineStr">
        <is>
          <t>Ôn tập cuối học kì 1</t>
        </is>
      </c>
      <c r="F473" s="3" t="inlineStr">
        <is>
          <t>Tuần 17: Ôn tập cuối học kì 1</t>
        </is>
      </c>
      <c r="G473" s="3" t="inlineStr">
        <is>
          <t>Chọn nhiều đáp án</t>
        </is>
      </c>
      <c r="H473" s="14" t="n">
        <v>3</v>
      </c>
      <c r="I473" s="3" t="inlineStr">
        <is>
          <t>Vận dụng</t>
        </is>
      </c>
      <c r="J473" s="3" t="inlineStr">
        <is>
          <t>Chọn TẤT CẢ các tiếng viết ĐÚNG chính tả</t>
        </is>
      </c>
      <c r="K473" s="3" t="inlineStr">
        <is>
          <t>A. kính | B. cính | C. ghế | D. gế | E. nghỉ</t>
        </is>
      </c>
      <c r="L473" s="3" t="inlineStr">
        <is>
          <t>A, C, E</t>
        </is>
      </c>
      <c r="M473" s="3" t="inlineStr">
        <is>
          <t>Trước e, ê, i viết k, gh, ngh: kính, ghế, nghỉ.</t>
        </is>
      </c>
      <c r="N473" s="3" t="inlineStr">
        <is>
          <t>Ba cặp cần nhớ: c/k, g/gh, ng/ngh. Đứng trước e, ê, i thì dùng k, gh, ngh. Vì vậy viết đúng là: kính, ghế, nghỉ.</t>
        </is>
      </c>
      <c r="O473" s="14" t="n">
        <v>60</v>
      </c>
      <c r="P473" s="14">
        <f>INDEX(Khung_cap_do!$H$2:$H$6,H473)</f>
        <v/>
      </c>
      <c r="Q473" s="3" t="inlineStr">
        <is>
          <t>V1.AM.04</t>
        </is>
      </c>
      <c r="R473" s="3" t="inlineStr">
        <is>
          <t>TV.CHINHTA</t>
        </is>
      </c>
    </row>
    <row r="474">
      <c r="A474" s="3" t="inlineStr">
        <is>
          <t>tv1-kntt-t17-q2</t>
        </is>
      </c>
      <c r="B474" s="3" t="inlineStr">
        <is>
          <t>Tiếng Việt</t>
        </is>
      </c>
      <c r="C474" s="3" t="inlineStr">
        <is>
          <t>Kết nối tri thức</t>
        </is>
      </c>
      <c r="D474" s="3" t="inlineStr">
        <is>
          <t>Tuần 17 (Bài 81–83)</t>
        </is>
      </c>
      <c r="E474" s="3" t="inlineStr">
        <is>
          <t>Ôn tập cuối học kì 1</t>
        </is>
      </c>
      <c r="F474" s="3" t="inlineStr">
        <is>
          <t>Tuần 17: Ôn tập cuối học kì 1</t>
        </is>
      </c>
      <c r="G474" s="3" t="inlineStr">
        <is>
          <t>Chọn đáp án</t>
        </is>
      </c>
      <c r="H474" s="14" t="n">
        <v>1</v>
      </c>
      <c r="I474" s="3" t="inlineStr">
        <is>
          <t>Làm quen</t>
        </is>
      </c>
      <c r="J474" s="3" t="inlineStr">
        <is>
          <t>Tiếng 'thuyền' có vần gì?</t>
        </is>
      </c>
      <c r="K474" s="3" t="inlineStr">
        <is>
          <t>A. uyên | B. iên | C. uyêt</t>
        </is>
      </c>
      <c r="L474" s="3" t="inlineStr">
        <is>
          <t>A</t>
        </is>
      </c>
      <c r="M474" s="3" t="inlineStr">
        <is>
          <t>'thuyền' = th + uyên.</t>
        </is>
      </c>
      <c r="N474" s="3" t="n"/>
      <c r="O474" s="14" t="n">
        <v>30</v>
      </c>
      <c r="P474" s="14">
        <f>INDEX(Khung_cap_do!$H$2:$H$6,H474)</f>
        <v/>
      </c>
      <c r="Q474" s="3" t="inlineStr">
        <is>
          <t>V1.AM.03</t>
        </is>
      </c>
      <c r="R474" s="3" t="inlineStr">
        <is>
          <t>TV.GHEPVAN</t>
        </is>
      </c>
    </row>
    <row r="475">
      <c r="A475" s="3" t="inlineStr">
        <is>
          <t>tv1-kntt-t17-q3</t>
        </is>
      </c>
      <c r="B475" s="3" t="inlineStr">
        <is>
          <t>Tiếng Việt</t>
        </is>
      </c>
      <c r="C475" s="3" t="inlineStr">
        <is>
          <t>Kết nối tri thức</t>
        </is>
      </c>
      <c r="D475" s="3" t="inlineStr">
        <is>
          <t>Tuần 17 (Bài 81–83)</t>
        </is>
      </c>
      <c r="E475" s="3" t="inlineStr">
        <is>
          <t>Ôn tập cuối học kì 1</t>
        </is>
      </c>
      <c r="F475" s="3" t="inlineStr">
        <is>
          <t>Tuần 17: Ôn tập cuối học kì 1</t>
        </is>
      </c>
      <c r="G475" s="3" t="inlineStr">
        <is>
          <t>Chọn đáp án</t>
        </is>
      </c>
      <c r="H475" s="14" t="n">
        <v>2</v>
      </c>
      <c r="I475" s="3" t="inlineStr">
        <is>
          <t>Cơ bản</t>
        </is>
      </c>
      <c r="J475" s="3" t="inlineStr">
        <is>
          <t>Câu "Em đi học" cuối câu cần dấu gì?</t>
        </is>
      </c>
      <c r="K475" s="3" t="inlineStr">
        <is>
          <t>A. . | B. ?</t>
        </is>
      </c>
      <c r="L475" s="3" t="inlineStr">
        <is>
          <t>A</t>
        </is>
      </c>
      <c r="M475" s="3" t="inlineStr">
        <is>
          <t>Câu kể kết thúc bằng dấu chấm.</t>
        </is>
      </c>
      <c r="N475" s="3" t="n"/>
      <c r="O475" s="14" t="n">
        <v>40</v>
      </c>
      <c r="P475" s="14">
        <f>INDEX(Khung_cap_do!$H$2:$H$6,H475)</f>
        <v/>
      </c>
      <c r="Q475" s="3" t="inlineStr">
        <is>
          <t>V1.VIET.05</t>
        </is>
      </c>
      <c r="R475" s="3" t="inlineStr">
        <is>
          <t>TV.DAUCAU</t>
        </is>
      </c>
    </row>
    <row r="476">
      <c r="A476" s="3" t="inlineStr">
        <is>
          <t>tv1-kntt-t17-q4</t>
        </is>
      </c>
      <c r="B476" s="3" t="inlineStr">
        <is>
          <t>Tiếng Việt</t>
        </is>
      </c>
      <c r="C476" s="3" t="inlineStr">
        <is>
          <t>Kết nối tri thức</t>
        </is>
      </c>
      <c r="D476" s="3" t="inlineStr">
        <is>
          <t>Tuần 17 (Bài 81–83)</t>
        </is>
      </c>
      <c r="E476" s="3" t="inlineStr">
        <is>
          <t>Ôn tập cuối học kì 1</t>
        </is>
      </c>
      <c r="F476" s="3" t="inlineStr">
        <is>
          <t>Tuần 17: Ôn tập cuối học kì 1</t>
        </is>
      </c>
      <c r="G476" s="3" t="inlineStr">
        <is>
          <t>Chọn đáp án</t>
        </is>
      </c>
      <c r="H476" s="14" t="n">
        <v>2</v>
      </c>
      <c r="I476" s="3" t="inlineStr">
        <is>
          <t>Cơ bản</t>
        </is>
      </c>
      <c r="J476" s="3" t="inlineStr">
        <is>
          <t>Câu "Bạn tên là gì" cuối câu cần dấu gì?</t>
        </is>
      </c>
      <c r="K476" s="3" t="inlineStr">
        <is>
          <t>A. . | B. ?</t>
        </is>
      </c>
      <c r="L476" s="3" t="inlineStr">
        <is>
          <t>B</t>
        </is>
      </c>
      <c r="M476" s="3" t="inlineStr">
        <is>
          <t>Câu hỏi kết thúc bằng dấu chấm hỏi.</t>
        </is>
      </c>
      <c r="N476" s="3" t="n"/>
      <c r="O476" s="14" t="n">
        <v>40</v>
      </c>
      <c r="P476" s="14">
        <f>INDEX(Khung_cap_do!$H$2:$H$6,H476)</f>
        <v/>
      </c>
      <c r="Q476" s="3" t="inlineStr">
        <is>
          <t>V1.VIET.05</t>
        </is>
      </c>
      <c r="R476" s="3" t="inlineStr">
        <is>
          <t>TV.DAUCAU</t>
        </is>
      </c>
    </row>
    <row r="477">
      <c r="A477" s="3" t="inlineStr">
        <is>
          <t>tv1-kntt-t17-q5</t>
        </is>
      </c>
      <c r="B477" s="3" t="inlineStr">
        <is>
          <t>Tiếng Việt</t>
        </is>
      </c>
      <c r="C477" s="3" t="inlineStr">
        <is>
          <t>Kết nối tri thức</t>
        </is>
      </c>
      <c r="D477" s="3" t="inlineStr">
        <is>
          <t>Tuần 17 (Bài 81–83)</t>
        </is>
      </c>
      <c r="E477" s="3" t="inlineStr">
        <is>
          <t>Ôn tập cuối học kì 1</t>
        </is>
      </c>
      <c r="F477" s="3" t="inlineStr">
        <is>
          <t>Tuần 17: Ôn tập cuối học kì 1</t>
        </is>
      </c>
      <c r="G477" s="3" t="inlineStr">
        <is>
          <t>Sắp xếp</t>
        </is>
      </c>
      <c r="H477" s="14" t="n">
        <v>2</v>
      </c>
      <c r="I477" s="3" t="inlineStr">
        <is>
          <t>Cơ bản</t>
        </is>
      </c>
      <c r="J477" s="3" t="inlineStr">
        <is>
          <t>Sắp xếp các tiếng thành câu</t>
        </is>
      </c>
      <c r="K477" s="3" t="inlineStr">
        <is>
          <t>Em / bài / chăm / chỉ / học</t>
        </is>
      </c>
      <c r="L477" s="3" t="inlineStr">
        <is>
          <t>Em → chăm → chỉ → học → bài</t>
        </is>
      </c>
      <c r="M477" s="3" t="inlineStr">
        <is>
          <t>Câu đúng: Em chăm chỉ học bài.</t>
        </is>
      </c>
      <c r="N477" s="3" t="n"/>
      <c r="O477" s="14" t="n">
        <v>55</v>
      </c>
      <c r="P477" s="14">
        <f>INDEX(Khung_cap_do!$H$2:$H$6,H477)</f>
        <v/>
      </c>
      <c r="Q477" s="3" t="inlineStr">
        <is>
          <t>V1.DOC.01</t>
        </is>
      </c>
      <c r="R477" s="3" t="inlineStr">
        <is>
          <t>TV.XEPCAU</t>
        </is>
      </c>
    </row>
    <row r="478">
      <c r="A478" s="3" t="inlineStr">
        <is>
          <t>tv1-kntt-t17-q6</t>
        </is>
      </c>
      <c r="B478" s="3" t="inlineStr">
        <is>
          <t>Tiếng Việt</t>
        </is>
      </c>
      <c r="C478" s="3" t="inlineStr">
        <is>
          <t>Kết nối tri thức</t>
        </is>
      </c>
      <c r="D478" s="3" t="inlineStr">
        <is>
          <t>Tuần 17 (Bài 81–83)</t>
        </is>
      </c>
      <c r="E478" s="3" t="inlineStr">
        <is>
          <t>Ôn tập cuối học kì 1</t>
        </is>
      </c>
      <c r="F478" s="3" t="inlineStr">
        <is>
          <t>Tuần 17: Ôn tập cuối học kì 1</t>
        </is>
      </c>
      <c r="G478" s="3" t="inlineStr">
        <is>
          <t>Ghép cặp</t>
        </is>
      </c>
      <c r="H478" s="14" t="n">
        <v>1</v>
      </c>
      <c r="I478" s="3" t="inlineStr">
        <is>
          <t>Làm quen</t>
        </is>
      </c>
      <c r="J478" s="3" t="inlineStr">
        <is>
          <t>Ghép từ với hình đúng</t>
        </is>
      </c>
      <c r="K478" s="3" t="inlineStr">
        <is>
          <t>ngựa ↔ ? / quạt ↔ ? / nhà ↔ ?</t>
        </is>
      </c>
      <c r="L478" s="3" t="inlineStr">
        <is>
          <t>ngựa – 🐎; quạt – 🪭; nhà – 🏠</t>
        </is>
      </c>
      <c r="M478" s="3" t="inlineStr">
        <is>
          <t>con ngựa, cái quạt, ngôi nhà.</t>
        </is>
      </c>
      <c r="N478" s="3" t="n"/>
      <c r="O478" s="14" t="n">
        <v>45</v>
      </c>
      <c r="P478" s="14">
        <f>INDEX(Khung_cap_do!$H$2:$H$6,H478)</f>
        <v/>
      </c>
      <c r="Q478" s="3" t="inlineStr">
        <is>
          <t>V1.DOC.05</t>
        </is>
      </c>
      <c r="R478" s="3" t="inlineStr">
        <is>
          <t>TV.NOITU</t>
        </is>
      </c>
    </row>
    <row r="479">
      <c r="A479" s="3" t="inlineStr">
        <is>
          <t>tv1-kntt-t17-q7</t>
        </is>
      </c>
      <c r="B479" s="3" t="inlineStr">
        <is>
          <t>Tiếng Việt</t>
        </is>
      </c>
      <c r="C479" s="3" t="inlineStr">
        <is>
          <t>Kết nối tri thức</t>
        </is>
      </c>
      <c r="D479" s="3" t="inlineStr">
        <is>
          <t>Tuần 17 (Bài 81–83)</t>
        </is>
      </c>
      <c r="E479" s="3" t="inlineStr">
        <is>
          <t>Ôn tập cuối học kì 1</t>
        </is>
      </c>
      <c r="F479" s="3" t="inlineStr">
        <is>
          <t>Tuần 17: Ôn tập cuối học kì 1</t>
        </is>
      </c>
      <c r="G479" s="3" t="inlineStr">
        <is>
          <t>Chọn đáp án</t>
        </is>
      </c>
      <c r="H479" s="14" t="n">
        <v>3</v>
      </c>
      <c r="I479" s="3" t="inlineStr">
        <is>
          <t>Vận dụng</t>
        </is>
      </c>
      <c r="J479" s="3" t="inlineStr">
        <is>
          <t>Đọc đoạn: 'Nhà Hà có vườn rau. Mẹ trồng rau cải, rau muống. Hà giúp mẹ tưới rau.' Hà giúp mẹ làm gì?</t>
        </is>
      </c>
      <c r="K479" s="3" t="inlineStr">
        <is>
          <t>A. tưới rau | B. trồng rau | C. nấu cơm</t>
        </is>
      </c>
      <c r="L479" s="3" t="inlineStr">
        <is>
          <t>A</t>
        </is>
      </c>
      <c r="M479" s="3" t="inlineStr">
        <is>
          <t>Câu cuối: "Hà giúp mẹ tưới rau."</t>
        </is>
      </c>
      <c r="N479" s="3" t="inlineStr">
        <is>
          <t>Tìm câu có tên Hà: "Hà giúp mẹ tưới rau." Vậy Hà giúp mẹ tưới rau. (Việc trồng rau là mẹ làm.)</t>
        </is>
      </c>
      <c r="O479" s="14" t="n">
        <v>60</v>
      </c>
      <c r="P479" s="14">
        <f>INDEX(Khung_cap_do!$H$2:$H$6,H479)</f>
        <v/>
      </c>
      <c r="Q479" s="3" t="inlineStr">
        <is>
          <t>V1.DOC.04</t>
        </is>
      </c>
      <c r="R479" s="3" t="inlineStr">
        <is>
          <t>TV.DOCHIEU</t>
        </is>
      </c>
    </row>
    <row r="480">
      <c r="A480" s="3" t="inlineStr">
        <is>
          <t>tv1-kntt-t17-q8</t>
        </is>
      </c>
      <c r="B480" s="3" t="inlineStr">
        <is>
          <t>Tiếng Việt</t>
        </is>
      </c>
      <c r="C480" s="3" t="inlineStr">
        <is>
          <t>Kết nối tri thức</t>
        </is>
      </c>
      <c r="D480" s="3" t="inlineStr">
        <is>
          <t>Tuần 17 (Bài 81–83)</t>
        </is>
      </c>
      <c r="E480" s="3" t="inlineStr">
        <is>
          <t>Ôn tập cuối học kì 1</t>
        </is>
      </c>
      <c r="F480" s="3" t="inlineStr">
        <is>
          <t>Tuần 17: Ôn tập cuối học kì 1</t>
        </is>
      </c>
      <c r="G480" s="3" t="inlineStr">
        <is>
          <t>Chọn nhiều đáp án</t>
        </is>
      </c>
      <c r="H480" s="14" t="n">
        <v>3</v>
      </c>
      <c r="I480" s="3" t="inlineStr">
        <is>
          <t>Vận dụng</t>
        </is>
      </c>
      <c r="J480" s="3" t="inlineStr">
        <is>
          <t>Đọc lại đoạn trên. Mẹ trồng những loại rau gì?</t>
        </is>
      </c>
      <c r="K480" s="3" t="inlineStr">
        <is>
          <t>A. rau cải | B. rau muống | C. rau ngót</t>
        </is>
      </c>
      <c r="L480" s="3" t="inlineStr">
        <is>
          <t>A, B</t>
        </is>
      </c>
      <c r="M480" s="3" t="inlineStr">
        <is>
          <t>Mẹ trồng rau cải, rau muống.</t>
        </is>
      </c>
      <c r="N480" s="3" t="inlineStr">
        <is>
          <t>Câu thứ hai: 'Mẹ trồng rau cải, rau muống.' Có hai loại: rau cải và rau muống. Rau ngót không có trong đoạn.</t>
        </is>
      </c>
      <c r="O480" s="14" t="n">
        <v>60</v>
      </c>
      <c r="P480" s="14">
        <f>INDEX(Khung_cap_do!$H$2:$H$6,H480)</f>
        <v/>
      </c>
      <c r="Q480" s="3" t="inlineStr">
        <is>
          <t>V1.DOC.04</t>
        </is>
      </c>
      <c r="R480" s="3" t="inlineStr">
        <is>
          <t>TV.DOCHIEU</t>
        </is>
      </c>
    </row>
    <row r="481">
      <c r="A481" s="3" t="inlineStr">
        <is>
          <t>tv1-kntt-t17-q9</t>
        </is>
      </c>
      <c r="B481" s="3" t="inlineStr">
        <is>
          <t>Tiếng Việt</t>
        </is>
      </c>
      <c r="C481" s="3" t="inlineStr">
        <is>
          <t>Kết nối tri thức</t>
        </is>
      </c>
      <c r="D481" s="3" t="inlineStr">
        <is>
          <t>Tuần 17 (Bài 81–83)</t>
        </is>
      </c>
      <c r="E481" s="3" t="inlineStr">
        <is>
          <t>Ôn tập cuối học kì 1</t>
        </is>
      </c>
      <c r="F481" s="3" t="inlineStr">
        <is>
          <t>Tuần 17: Ôn tập cuối học kì 1</t>
        </is>
      </c>
      <c r="G481" s="3" t="inlineStr">
        <is>
          <t>Điền đáp án</t>
        </is>
      </c>
      <c r="H481" s="14" t="n">
        <v>2</v>
      </c>
      <c r="I481" s="3" t="inlineStr">
        <is>
          <t>Cơ bản</t>
        </is>
      </c>
      <c r="J481" s="3" t="inlineStr">
        <is>
          <t>Ghép âm qu với vần ang. Được tiếng gì?</t>
        </is>
      </c>
      <c r="K481" s="3" t="inlineStr"/>
      <c r="L481" s="3" t="inlineStr">
        <is>
          <t>quang</t>
        </is>
      </c>
      <c r="M481" s="3" t="inlineStr">
        <is>
          <t>qu – ang – quang.</t>
        </is>
      </c>
      <c r="N481" s="3" t="n"/>
      <c r="O481" s="14" t="n">
        <v>50</v>
      </c>
      <c r="P481" s="14">
        <f>INDEX(Khung_cap_do!$H$2:$H$6,H481)</f>
        <v/>
      </c>
      <c r="Q481" s="3" t="inlineStr">
        <is>
          <t>V1.DOC.01</t>
        </is>
      </c>
      <c r="R481" s="3" t="inlineStr">
        <is>
          <t>TV.GHEPVAN</t>
        </is>
      </c>
    </row>
    <row r="482">
      <c r="A482" s="3" t="inlineStr">
        <is>
          <t>tv1-kntt-t17-q10</t>
        </is>
      </c>
      <c r="B482" s="3" t="inlineStr">
        <is>
          <t>Tiếng Việt</t>
        </is>
      </c>
      <c r="C482" s="3" t="inlineStr">
        <is>
          <t>Kết nối tri thức</t>
        </is>
      </c>
      <c r="D482" s="3" t="inlineStr">
        <is>
          <t>Tuần 17 (Bài 81–83)</t>
        </is>
      </c>
      <c r="E482" s="3" t="inlineStr">
        <is>
          <t>Ôn tập cuối học kì 1</t>
        </is>
      </c>
      <c r="F482" s="3" t="inlineStr">
        <is>
          <t>Tuần 17: Ôn tập cuối học kì 1</t>
        </is>
      </c>
      <c r="G482" s="3" t="inlineStr">
        <is>
          <t>Đúng / Sai</t>
        </is>
      </c>
      <c r="H482" s="14" t="n">
        <v>3</v>
      </c>
      <c r="I482" s="3" t="inlineStr">
        <is>
          <t>Vận dụng</t>
        </is>
      </c>
      <c r="J482" s="3" t="inlineStr">
        <is>
          <t>Tiếng 'quạt' gồm âm qu và vần at, dấu nặng. Đúng hay sai?</t>
        </is>
      </c>
      <c r="K482" s="3" t="inlineStr">
        <is>
          <t>A. Đúng | B. Sai</t>
        </is>
      </c>
      <c r="L482" s="3" t="inlineStr">
        <is>
          <t>A</t>
        </is>
      </c>
      <c r="M482" s="3" t="inlineStr">
        <is>
          <t>qu – at – quat – nặng – quạt.</t>
        </is>
      </c>
      <c r="N482" s="3" t="inlineStr">
        <is>
          <t>Đánh vần: qu – at – quat – nặng – quạt. Âm đầu qu, vần at, dấu nặng. Câu nói đúng.</t>
        </is>
      </c>
      <c r="O482" s="14" t="n">
        <v>50</v>
      </c>
      <c r="P482" s="14">
        <f>INDEX(Khung_cap_do!$H$2:$H$6,H482)</f>
        <v/>
      </c>
      <c r="Q482" s="3" t="inlineStr">
        <is>
          <t>V1.AM.03</t>
        </is>
      </c>
      <c r="R482" s="3" t="inlineStr">
        <is>
          <t>TV.GHEPVAN</t>
        </is>
      </c>
    </row>
    <row r="483">
      <c r="A483" s="3" t="inlineStr">
        <is>
          <t>tv1-kntt-c01-q1</t>
        </is>
      </c>
      <c r="B483" s="3" t="inlineStr">
        <is>
          <t>Tiếng Việt</t>
        </is>
      </c>
      <c r="C483" s="3" t="inlineStr">
        <is>
          <t>Kết nối tri thức</t>
        </is>
      </c>
      <c r="D483" s="3" t="inlineStr">
        <is>
          <t>Tập hai · Chủ đề 1</t>
        </is>
      </c>
      <c r="E483" s="3" t="inlineStr">
        <is>
          <t>Học kì 2 · Chủ đề 1–4</t>
        </is>
      </c>
      <c r="F483" s="3" t="inlineStr">
        <is>
          <t>Chủ đề 1. Tôi và các bạn</t>
        </is>
      </c>
      <c r="G483" s="3" t="inlineStr">
        <is>
          <t>Chọn đáp án</t>
        </is>
      </c>
      <c r="H483" s="14" t="n">
        <v>1</v>
      </c>
      <c r="I483" s="3" t="inlineStr">
        <is>
          <t>Làm quen</t>
        </is>
      </c>
      <c r="J483" s="3" t="inlineStr">
        <is>
          <t>Từ nào chỉ hoạt động?</t>
        </is>
      </c>
      <c r="K483" s="3" t="inlineStr">
        <is>
          <t>A. cặp sách | B. chạy | C. đỏ</t>
        </is>
      </c>
      <c r="L483" s="3" t="inlineStr">
        <is>
          <t>B</t>
        </is>
      </c>
      <c r="M483" s="3" t="inlineStr">
        <is>
          <t>"Chạy" là việc làm, chỉ hoạt động.</t>
        </is>
      </c>
      <c r="N483" s="3" t="n"/>
      <c r="O483" s="14" t="n">
        <v>30</v>
      </c>
      <c r="P483" s="14">
        <f>INDEX(Khung_cap_do!$H$2:$H$6,H483)</f>
        <v/>
      </c>
      <c r="Q483" s="3" t="inlineStr">
        <is>
          <t>V1.VIET.04</t>
        </is>
      </c>
      <c r="R483" s="3" t="inlineStr">
        <is>
          <t>TV.TUNGU</t>
        </is>
      </c>
    </row>
    <row r="484">
      <c r="A484" s="3" t="inlineStr">
        <is>
          <t>tv1-kntt-c01-q2</t>
        </is>
      </c>
      <c r="B484" s="3" t="inlineStr">
        <is>
          <t>Tiếng Việt</t>
        </is>
      </c>
      <c r="C484" s="3" t="inlineStr">
        <is>
          <t>Kết nối tri thức</t>
        </is>
      </c>
      <c r="D484" s="3" t="inlineStr">
        <is>
          <t>Tập hai · Chủ đề 1</t>
        </is>
      </c>
      <c r="E484" s="3" t="inlineStr">
        <is>
          <t>Học kì 2 · Chủ đề 1–4</t>
        </is>
      </c>
      <c r="F484" s="3" t="inlineStr">
        <is>
          <t>Chủ đề 1. Tôi và các bạn</t>
        </is>
      </c>
      <c r="G484" s="3" t="inlineStr">
        <is>
          <t>Chọn đáp án</t>
        </is>
      </c>
      <c r="H484" s="14" t="n">
        <v>1</v>
      </c>
      <c r="I484" s="3" t="inlineStr">
        <is>
          <t>Làm quen</t>
        </is>
      </c>
      <c r="J484" s="3" t="inlineStr">
        <is>
          <t>Chọn dấu câu đặt cuối câu: "Bạn tên là gì …"</t>
        </is>
      </c>
      <c r="K484" s="3" t="inlineStr">
        <is>
          <t>A. . | B. ?</t>
        </is>
      </c>
      <c r="L484" s="3" t="inlineStr">
        <is>
          <t>B</t>
        </is>
      </c>
      <c r="M484" s="3" t="inlineStr">
        <is>
          <t>Câu dùng để hỏi: đặt dấu chấm hỏi.</t>
        </is>
      </c>
      <c r="N484" s="3" t="n"/>
      <c r="O484" s="14" t="n">
        <v>30</v>
      </c>
      <c r="P484" s="14">
        <f>INDEX(Khung_cap_do!$H$2:$H$6,H484)</f>
        <v/>
      </c>
      <c r="Q484" s="3" t="inlineStr">
        <is>
          <t>V1.VIET.05</t>
        </is>
      </c>
      <c r="R484" s="3" t="inlineStr">
        <is>
          <t>TV.DAUCAU</t>
        </is>
      </c>
    </row>
    <row r="485">
      <c r="A485" s="3" t="inlineStr">
        <is>
          <t>tv1-kntt-c01-q3</t>
        </is>
      </c>
      <c r="B485" s="3" t="inlineStr">
        <is>
          <t>Tiếng Việt</t>
        </is>
      </c>
      <c r="C485" s="3" t="inlineStr">
        <is>
          <t>Kết nối tri thức</t>
        </is>
      </c>
      <c r="D485" s="3" t="inlineStr">
        <is>
          <t>Tập hai · Chủ đề 1</t>
        </is>
      </c>
      <c r="E485" s="3" t="inlineStr">
        <is>
          <t>Học kì 2 · Chủ đề 1–4</t>
        </is>
      </c>
      <c r="F485" s="3" t="inlineStr">
        <is>
          <t>Chủ đề 1. Tôi và các bạn</t>
        </is>
      </c>
      <c r="G485" s="3" t="inlineStr">
        <is>
          <t>Chọn đáp án</t>
        </is>
      </c>
      <c r="H485" s="14" t="n">
        <v>2</v>
      </c>
      <c r="I485" s="3" t="inlineStr">
        <is>
          <t>Cơ bản</t>
        </is>
      </c>
      <c r="J485" s="3" t="inlineStr">
        <is>
          <t>Khi được bạn cho mượn đồ, em nói:</t>
        </is>
      </c>
      <c r="K485" s="3" t="inlineStr">
        <is>
          <t>A. Cảm ơn bạn! | B. Xin lỗi bạn! | C. Tạm biệt!</t>
        </is>
      </c>
      <c r="L485" s="3" t="inlineStr">
        <is>
          <t>A</t>
        </is>
      </c>
      <c r="M485" s="3" t="inlineStr">
        <is>
          <t>Được giúp đỡ thì nói lời cảm ơn.</t>
        </is>
      </c>
      <c r="N485" s="3" t="n"/>
      <c r="O485" s="14" t="n">
        <v>40</v>
      </c>
      <c r="P485" s="14">
        <f>INDEX(Khung_cap_do!$H$2:$H$6,H485)</f>
        <v/>
      </c>
      <c r="Q485" s="3" t="inlineStr">
        <is>
          <t>V1.NN.01</t>
        </is>
      </c>
      <c r="R485" s="3" t="inlineStr">
        <is>
          <t>TV.DOCHIEU</t>
        </is>
      </c>
    </row>
    <row r="486">
      <c r="A486" s="3" t="inlineStr">
        <is>
          <t>tv1-kntt-c01-q4</t>
        </is>
      </c>
      <c r="B486" s="3" t="inlineStr">
        <is>
          <t>Tiếng Việt</t>
        </is>
      </c>
      <c r="C486" s="3" t="inlineStr">
        <is>
          <t>Kết nối tri thức</t>
        </is>
      </c>
      <c r="D486" s="3" t="inlineStr">
        <is>
          <t>Tập hai · Chủ đề 1</t>
        </is>
      </c>
      <c r="E486" s="3" t="inlineStr">
        <is>
          <t>Học kì 2 · Chủ đề 1–4</t>
        </is>
      </c>
      <c r="F486" s="3" t="inlineStr">
        <is>
          <t>Chủ đề 1. Tôi và các bạn</t>
        </is>
      </c>
      <c r="G486" s="3" t="inlineStr">
        <is>
          <t>Chọn đáp án</t>
        </is>
      </c>
      <c r="H486" s="14" t="n">
        <v>2</v>
      </c>
      <c r="I486" s="3" t="inlineStr">
        <is>
          <t>Cơ bản</t>
        </is>
      </c>
      <c r="J486" s="3" t="inlineStr">
        <is>
          <t>Điền ch hay tr: "bạn …ơi" (bạn cùng chơi)</t>
        </is>
      </c>
      <c r="K486" s="3" t="inlineStr">
        <is>
          <t>A. ch | B. tr</t>
        </is>
      </c>
      <c r="L486" s="3" t="inlineStr">
        <is>
          <t>A</t>
        </is>
      </c>
      <c r="M486" s="3" t="inlineStr">
        <is>
          <t>Viết là "bạn chơi".</t>
        </is>
      </c>
      <c r="N486" s="3" t="n"/>
      <c r="O486" s="14" t="n">
        <v>40</v>
      </c>
      <c r="P486" s="14">
        <f>INDEX(Khung_cap_do!$H$2:$H$6,H486)</f>
        <v/>
      </c>
      <c r="Q486" s="3" t="inlineStr">
        <is>
          <t>V1.AM.04</t>
        </is>
      </c>
      <c r="R486" s="3" t="inlineStr">
        <is>
          <t>TV.CHINHTA</t>
        </is>
      </c>
    </row>
    <row r="487">
      <c r="A487" s="3" t="inlineStr">
        <is>
          <t>tv1-kntt-c01-q5</t>
        </is>
      </c>
      <c r="B487" s="3" t="inlineStr">
        <is>
          <t>Tiếng Việt</t>
        </is>
      </c>
      <c r="C487" s="3" t="inlineStr">
        <is>
          <t>Kết nối tri thức</t>
        </is>
      </c>
      <c r="D487" s="3" t="inlineStr">
        <is>
          <t>Tập hai · Chủ đề 1</t>
        </is>
      </c>
      <c r="E487" s="3" t="inlineStr">
        <is>
          <t>Học kì 2 · Chủ đề 1–4</t>
        </is>
      </c>
      <c r="F487" s="3" t="inlineStr">
        <is>
          <t>Chủ đề 1. Tôi và các bạn</t>
        </is>
      </c>
      <c r="G487" s="3" t="inlineStr">
        <is>
          <t>Chọn nhiều đáp án</t>
        </is>
      </c>
      <c r="H487" s="14" t="n">
        <v>3</v>
      </c>
      <c r="I487" s="3" t="inlineStr">
        <is>
          <t>Vận dụng</t>
        </is>
      </c>
      <c r="J487" s="3" t="inlineStr">
        <is>
          <t>Chọn tất cả các từ chỉ tình cảm bạn bè.</t>
        </is>
      </c>
      <c r="K487" s="3" t="inlineStr">
        <is>
          <t>A. thân thiết | B. giúp đỡ | C. cãi nhau | D. chia sẻ</t>
        </is>
      </c>
      <c r="L487" s="3" t="inlineStr">
        <is>
          <t>A, B, D</t>
        </is>
      </c>
      <c r="M487" s="3" t="inlineStr">
        <is>
          <t>Bạn tốt thì thân thiết, giúp đỡ, chia sẻ với nhau.</t>
        </is>
      </c>
      <c r="N487" s="3" t="inlineStr">
        <is>
          <t>Đọc từng từ, nghĩ xem bạn bè tốt với nhau có làm vậy không: thân thiết, giúp đỡ, chia sẻ là việc tốt; cãi nhau thì không.</t>
        </is>
      </c>
      <c r="O487" s="14" t="n">
        <v>60</v>
      </c>
      <c r="P487" s="14">
        <f>INDEX(Khung_cap_do!$H$2:$H$6,H487)</f>
        <v/>
      </c>
      <c r="Q487" s="3" t="inlineStr">
        <is>
          <t>V1.VIET.04</t>
        </is>
      </c>
      <c r="R487" s="3" t="inlineStr">
        <is>
          <t>TV.TUNGU</t>
        </is>
      </c>
    </row>
    <row r="488">
      <c r="A488" s="3" t="inlineStr">
        <is>
          <t>tv1-kntt-c01-q6</t>
        </is>
      </c>
      <c r="B488" s="3" t="inlineStr">
        <is>
          <t>Tiếng Việt</t>
        </is>
      </c>
      <c r="C488" s="3" t="inlineStr">
        <is>
          <t>Kết nối tri thức</t>
        </is>
      </c>
      <c r="D488" s="3" t="inlineStr">
        <is>
          <t>Tập hai · Chủ đề 1</t>
        </is>
      </c>
      <c r="E488" s="3" t="inlineStr">
        <is>
          <t>Học kì 2 · Chủ đề 1–4</t>
        </is>
      </c>
      <c r="F488" s="3" t="inlineStr">
        <is>
          <t>Chủ đề 1. Tôi và các bạn</t>
        </is>
      </c>
      <c r="G488" s="3" t="inlineStr">
        <is>
          <t>Đúng / Sai</t>
        </is>
      </c>
      <c r="H488" s="14" t="n">
        <v>3</v>
      </c>
      <c r="I488" s="3" t="inlineStr">
        <is>
          <t>Vận dụng</t>
        </is>
      </c>
      <c r="J488" s="3" t="inlineStr">
        <is>
          <t>Đọc câu: "Hà và Minh cùng chơi nhảy dây." Hai bạn đang đá cầu. Đúng hay sai?</t>
        </is>
      </c>
      <c r="K488" s="3" t="inlineStr">
        <is>
          <t>A. Đúng | B. Sai</t>
        </is>
      </c>
      <c r="L488" s="3" t="inlineStr">
        <is>
          <t>B</t>
        </is>
      </c>
      <c r="M488" s="3" t="inlineStr">
        <is>
          <t>Câu nói hai bạn chơi nhảy dây, không phải đá cầu.</t>
        </is>
      </c>
      <c r="N488" s="3" t="inlineStr">
        <is>
          <t>Đọc kĩ câu: hai bạn "chơi nhảy dây". Câu nói "đang đá cầu" không đúng với câu đã đọc.</t>
        </is>
      </c>
      <c r="O488" s="14" t="n">
        <v>60</v>
      </c>
      <c r="P488" s="14">
        <f>INDEX(Khung_cap_do!$H$2:$H$6,H488)</f>
        <v/>
      </c>
      <c r="Q488" s="3" t="inlineStr">
        <is>
          <t>V1.DOC.04</t>
        </is>
      </c>
      <c r="R488" s="3" t="inlineStr">
        <is>
          <t>TV.DOCHIEU</t>
        </is>
      </c>
    </row>
    <row r="489">
      <c r="A489" s="3" t="inlineStr">
        <is>
          <t>tv1-kntt-c01-q7</t>
        </is>
      </c>
      <c r="B489" s="3" t="inlineStr">
        <is>
          <t>Tiếng Việt</t>
        </is>
      </c>
      <c r="C489" s="3" t="inlineStr">
        <is>
          <t>Kết nối tri thức</t>
        </is>
      </c>
      <c r="D489" s="3" t="inlineStr">
        <is>
          <t>Tập hai · Chủ đề 1</t>
        </is>
      </c>
      <c r="E489" s="3" t="inlineStr">
        <is>
          <t>Học kì 2 · Chủ đề 1–4</t>
        </is>
      </c>
      <c r="F489" s="3" t="inlineStr">
        <is>
          <t>Chủ đề 1. Tôi và các bạn</t>
        </is>
      </c>
      <c r="G489" s="3" t="inlineStr">
        <is>
          <t>Sắp xếp</t>
        </is>
      </c>
      <c r="H489" s="14" t="n">
        <v>4</v>
      </c>
      <c r="I489" s="3" t="inlineStr">
        <is>
          <t>Thử thách</t>
        </is>
      </c>
      <c r="J489" s="3" t="inlineStr">
        <is>
          <t>Sắp xếp các từ ngữ thành câu đúng.</t>
        </is>
      </c>
      <c r="K489" s="3" t="inlineStr">
        <is>
          <t>Bạn bè / cần / giúp đỡ / nhau</t>
        </is>
      </c>
      <c r="L489" s="3" t="inlineStr">
        <is>
          <t>Bạn bè → cần → giúp đỡ → nhau</t>
        </is>
      </c>
      <c r="M489" s="3" t="inlineStr">
        <is>
          <t>Bạn bè cần giúp đỡ nhau.</t>
        </is>
      </c>
      <c r="N489" s="3" t="inlineStr">
        <is>
          <t>Từ viết hoa "Bạn bè" đứng đầu câu. Ghép tiếp cho có nghĩa: Bạn bè cần giúp đỡ nhau.</t>
        </is>
      </c>
      <c r="O489" s="14" t="n">
        <v>75</v>
      </c>
      <c r="P489" s="14">
        <f>INDEX(Khung_cap_do!$H$2:$H$6,H489)</f>
        <v/>
      </c>
      <c r="Q489" s="3" t="inlineStr">
        <is>
          <t>V1.DOC.02</t>
        </is>
      </c>
      <c r="R489" s="3" t="inlineStr">
        <is>
          <t>TV.XEPCAU</t>
        </is>
      </c>
    </row>
    <row r="490">
      <c r="A490" s="3" t="inlineStr">
        <is>
          <t>tv1-kntt-c01-q8</t>
        </is>
      </c>
      <c r="B490" s="3" t="inlineStr">
        <is>
          <t>Tiếng Việt</t>
        </is>
      </c>
      <c r="C490" s="3" t="inlineStr">
        <is>
          <t>Kết nối tri thức</t>
        </is>
      </c>
      <c r="D490" s="3" t="inlineStr">
        <is>
          <t>Tập hai · Chủ đề 1</t>
        </is>
      </c>
      <c r="E490" s="3" t="inlineStr">
        <is>
          <t>Học kì 2 · Chủ đề 1–4</t>
        </is>
      </c>
      <c r="F490" s="3" t="inlineStr">
        <is>
          <t>Chủ đề 1. Tôi và các bạn</t>
        </is>
      </c>
      <c r="G490" s="3" t="inlineStr">
        <is>
          <t>Ghép cặp</t>
        </is>
      </c>
      <c r="H490" s="14" t="n">
        <v>5</v>
      </c>
      <c r="I490" s="3" t="inlineStr">
        <is>
          <t>Mở rộng</t>
        </is>
      </c>
      <c r="J490" s="3" t="inlineStr">
        <is>
          <t>Ghép lời nói với tình huống phù hợp.</t>
        </is>
      </c>
      <c r="K490" s="3" t="inlineStr">
        <is>
          <t>Bạn tặng quà sinh nhật ↔ ? / Em làm rơi bút của bạn ↔ ? / Gặp bạn buổi sáng ↔ ?</t>
        </is>
      </c>
      <c r="L490" s="3" t="inlineStr">
        <is>
          <t>Bạn tặng quà sinh nhật – Cảm ơn bạn!; Em làm rơi bút của bạn – Xin lỗi bạn!; Gặp bạn buổi sáng – Chào bạn!</t>
        </is>
      </c>
      <c r="M490" s="3" t="inlineStr">
        <is>
          <t>Được tặng quà: cảm ơn; làm phiền bạn: xin lỗi; gặp bạn: chào.</t>
        </is>
      </c>
      <c r="N490" s="3" t="inlineStr">
        <is>
          <t>Nghĩ xem trong mỗi tình huống em cần nói lời gì: được giúp, được tặng thì cảm ơn; làm phiền, làm sai thì xin lỗi; gặp nhau thì chào.</t>
        </is>
      </c>
      <c r="O490" s="14" t="n">
        <v>90</v>
      </c>
      <c r="P490" s="14">
        <f>INDEX(Khung_cap_do!$H$2:$H$6,H490)</f>
        <v/>
      </c>
      <c r="Q490" s="3" t="inlineStr">
        <is>
          <t>V1.NN.01</t>
        </is>
      </c>
      <c r="R490" s="3" t="inlineStr">
        <is>
          <t>TV.NOITU</t>
        </is>
      </c>
    </row>
    <row r="491">
      <c r="A491" s="3" t="inlineStr">
        <is>
          <t>tv1-kntt-c02-q1</t>
        </is>
      </c>
      <c r="B491" s="3" t="inlineStr">
        <is>
          <t>Tiếng Việt</t>
        </is>
      </c>
      <c r="C491" s="3" t="inlineStr">
        <is>
          <t>Kết nối tri thức</t>
        </is>
      </c>
      <c r="D491" s="3" t="inlineStr">
        <is>
          <t>Tập hai · Chủ đề 2</t>
        </is>
      </c>
      <c r="E491" s="3" t="inlineStr">
        <is>
          <t>Học kì 2 · Chủ đề 1–4</t>
        </is>
      </c>
      <c r="F491" s="3" t="inlineStr">
        <is>
          <t>Chủ đề 2. Mái ấm gia đình</t>
        </is>
      </c>
      <c r="G491" s="3" t="inlineStr">
        <is>
          <t>Chọn đáp án</t>
        </is>
      </c>
      <c r="H491" s="14" t="n">
        <v>1</v>
      </c>
      <c r="I491" s="3" t="inlineStr">
        <is>
          <t>Làm quen</t>
        </is>
      </c>
      <c r="J491" s="3" t="inlineStr">
        <is>
          <t>Từ nào chỉ người trong gia đình?</t>
        </is>
      </c>
      <c r="K491" s="3" t="inlineStr">
        <is>
          <t>A. ông bà | B. cô giáo | C. bác sĩ</t>
        </is>
      </c>
      <c r="L491" s="3" t="inlineStr">
        <is>
          <t>A</t>
        </is>
      </c>
      <c r="M491" s="3" t="inlineStr">
        <is>
          <t>Ông bà là người trong gia đình.</t>
        </is>
      </c>
      <c r="N491" s="3" t="n"/>
      <c r="O491" s="14" t="n">
        <v>30</v>
      </c>
      <c r="P491" s="14">
        <f>INDEX(Khung_cap_do!$H$2:$H$6,H491)</f>
        <v/>
      </c>
      <c r="Q491" s="3" t="inlineStr">
        <is>
          <t>V1.VIET.04</t>
        </is>
      </c>
      <c r="R491" s="3" t="inlineStr">
        <is>
          <t>TV.TUNGU</t>
        </is>
      </c>
    </row>
    <row r="492">
      <c r="A492" s="3" t="inlineStr">
        <is>
          <t>tv1-kntt-c02-q2</t>
        </is>
      </c>
      <c r="B492" s="3" t="inlineStr">
        <is>
          <t>Tiếng Việt</t>
        </is>
      </c>
      <c r="C492" s="3" t="inlineStr">
        <is>
          <t>Kết nối tri thức</t>
        </is>
      </c>
      <c r="D492" s="3" t="inlineStr">
        <is>
          <t>Tập hai · Chủ đề 2</t>
        </is>
      </c>
      <c r="E492" s="3" t="inlineStr">
        <is>
          <t>Học kì 2 · Chủ đề 1–4</t>
        </is>
      </c>
      <c r="F492" s="3" t="inlineStr">
        <is>
          <t>Chủ đề 2. Mái ấm gia đình</t>
        </is>
      </c>
      <c r="G492" s="3" t="inlineStr">
        <is>
          <t>Chọn đáp án</t>
        </is>
      </c>
      <c r="H492" s="14" t="n">
        <v>1</v>
      </c>
      <c r="I492" s="3" t="inlineStr">
        <is>
          <t>Làm quen</t>
        </is>
      </c>
      <c r="J492" s="3" t="inlineStr">
        <is>
          <t>Chọn từ ngữ điền vào chỗ trống: "Em … bát sau bữa cơm."</t>
        </is>
      </c>
      <c r="K492" s="3" t="inlineStr">
        <is>
          <t>A. rửa | B. vẽ | C. hát</t>
        </is>
      </c>
      <c r="L492" s="3" t="inlineStr">
        <is>
          <t>A</t>
        </is>
      </c>
      <c r="M492" s="3" t="inlineStr">
        <is>
          <t>Câu đúng: Em rửa bát sau bữa cơm.</t>
        </is>
      </c>
      <c r="N492" s="3" t="n"/>
      <c r="O492" s="14" t="n">
        <v>30</v>
      </c>
      <c r="P492" s="14">
        <f>INDEX(Khung_cap_do!$H$2:$H$6,H492)</f>
        <v/>
      </c>
      <c r="Q492" s="3" t="inlineStr">
        <is>
          <t>V1.VIET.04</t>
        </is>
      </c>
      <c r="R492" s="3" t="inlineStr">
        <is>
          <t>TV.TUNGU</t>
        </is>
      </c>
    </row>
    <row r="493">
      <c r="A493" s="3" t="inlineStr">
        <is>
          <t>tv1-kntt-c02-q3</t>
        </is>
      </c>
      <c r="B493" s="3" t="inlineStr">
        <is>
          <t>Tiếng Việt</t>
        </is>
      </c>
      <c r="C493" s="3" t="inlineStr">
        <is>
          <t>Kết nối tri thức</t>
        </is>
      </c>
      <c r="D493" s="3" t="inlineStr">
        <is>
          <t>Tập hai · Chủ đề 2</t>
        </is>
      </c>
      <c r="E493" s="3" t="inlineStr">
        <is>
          <t>Học kì 2 · Chủ đề 1–4</t>
        </is>
      </c>
      <c r="F493" s="3" t="inlineStr">
        <is>
          <t>Chủ đề 2. Mái ấm gia đình</t>
        </is>
      </c>
      <c r="G493" s="3" t="inlineStr">
        <is>
          <t>Chọn đáp án</t>
        </is>
      </c>
      <c r="H493" s="14" t="n">
        <v>2</v>
      </c>
      <c r="I493" s="3" t="inlineStr">
        <is>
          <t>Cơ bản</t>
        </is>
      </c>
      <c r="J493" s="3" t="inlineStr">
        <is>
          <t>Điền s hay x: "…au bữa cơm, cả nhà quây quần."</t>
        </is>
      </c>
      <c r="K493" s="3" t="inlineStr">
        <is>
          <t>A. s | B. x</t>
        </is>
      </c>
      <c r="L493" s="3" t="inlineStr">
        <is>
          <t>A</t>
        </is>
      </c>
      <c r="M493" s="3" t="inlineStr">
        <is>
          <t>Viết là "sau".</t>
        </is>
      </c>
      <c r="N493" s="3" t="n"/>
      <c r="O493" s="14" t="n">
        <v>40</v>
      </c>
      <c r="P493" s="14">
        <f>INDEX(Khung_cap_do!$H$2:$H$6,H493)</f>
        <v/>
      </c>
      <c r="Q493" s="3" t="inlineStr">
        <is>
          <t>V1.AM.04</t>
        </is>
      </c>
      <c r="R493" s="3" t="inlineStr">
        <is>
          <t>TV.CHINHTA</t>
        </is>
      </c>
    </row>
    <row r="494">
      <c r="A494" s="3" t="inlineStr">
        <is>
          <t>tv1-kntt-c02-q4</t>
        </is>
      </c>
      <c r="B494" s="3" t="inlineStr">
        <is>
          <t>Tiếng Việt</t>
        </is>
      </c>
      <c r="C494" s="3" t="inlineStr">
        <is>
          <t>Kết nối tri thức</t>
        </is>
      </c>
      <c r="D494" s="3" t="inlineStr">
        <is>
          <t>Tập hai · Chủ đề 2</t>
        </is>
      </c>
      <c r="E494" s="3" t="inlineStr">
        <is>
          <t>Học kì 2 · Chủ đề 1–4</t>
        </is>
      </c>
      <c r="F494" s="3" t="inlineStr">
        <is>
          <t>Chủ đề 2. Mái ấm gia đình</t>
        </is>
      </c>
      <c r="G494" s="3" t="inlineStr">
        <is>
          <t>Chọn nhiều đáp án</t>
        </is>
      </c>
      <c r="H494" s="14" t="n">
        <v>3</v>
      </c>
      <c r="I494" s="3" t="inlineStr">
        <is>
          <t>Vận dụng</t>
        </is>
      </c>
      <c r="J494" s="3" t="inlineStr">
        <is>
          <t>Chọn tất cả các việc em có thể làm để giúp bố mẹ.</t>
        </is>
      </c>
      <c r="K494" s="3" t="inlineStr">
        <is>
          <t>A. quét nhà | B. tưới cây | C. xếp bát đũa | D. vẽ lên tường</t>
        </is>
      </c>
      <c r="L494" s="3" t="inlineStr">
        <is>
          <t>A, B, C</t>
        </is>
      </c>
      <c r="M494" s="3" t="inlineStr">
        <is>
          <t>Quét nhà, tưới cây, xếp bát đũa là việc nhà vừa sức em.</t>
        </is>
      </c>
      <c r="N494" s="3" t="inlineStr">
        <is>
          <t>Việc giúp bố mẹ là việc có ích trong nhà: quét nhà, tưới cây, xếp bát đũa. Vẽ lên tường làm bẩn nhà, không phải giúp đỡ.</t>
        </is>
      </c>
      <c r="O494" s="14" t="n">
        <v>60</v>
      </c>
      <c r="P494" s="14">
        <f>INDEX(Khung_cap_do!$H$2:$H$6,H494)</f>
        <v/>
      </c>
      <c r="Q494" s="3" t="inlineStr">
        <is>
          <t>V1.VIET.04</t>
        </is>
      </c>
      <c r="R494" s="3" t="inlineStr">
        <is>
          <t>TV.TUNGU</t>
        </is>
      </c>
    </row>
    <row r="495">
      <c r="A495" s="3" t="inlineStr">
        <is>
          <t>tv1-kntt-c02-q5</t>
        </is>
      </c>
      <c r="B495" s="3" t="inlineStr">
        <is>
          <t>Tiếng Việt</t>
        </is>
      </c>
      <c r="C495" s="3" t="inlineStr">
        <is>
          <t>Kết nối tri thức</t>
        </is>
      </c>
      <c r="D495" s="3" t="inlineStr">
        <is>
          <t>Tập hai · Chủ đề 2</t>
        </is>
      </c>
      <c r="E495" s="3" t="inlineStr">
        <is>
          <t>Học kì 2 · Chủ đề 1–4</t>
        </is>
      </c>
      <c r="F495" s="3" t="inlineStr">
        <is>
          <t>Chủ đề 2. Mái ấm gia đình</t>
        </is>
      </c>
      <c r="G495" s="3" t="inlineStr">
        <is>
          <t>Đúng / Sai</t>
        </is>
      </c>
      <c r="H495" s="14" t="n">
        <v>3</v>
      </c>
      <c r="I495" s="3" t="inlineStr">
        <is>
          <t>Vận dụng</t>
        </is>
      </c>
      <c r="J495" s="3" t="inlineStr">
        <is>
          <t>Đọc câu: "Bé Lan quạt cho bà ngủ." Bà đang ngủ. Đúng hay sai?</t>
        </is>
      </c>
      <c r="K495" s="3" t="inlineStr">
        <is>
          <t>A. Đúng | B. Sai</t>
        </is>
      </c>
      <c r="L495" s="3" t="inlineStr">
        <is>
          <t>A</t>
        </is>
      </c>
      <c r="M495" s="3" t="inlineStr">
        <is>
          <t>Lan quạt cho bà ngủ: bà đang ngủ.</t>
        </is>
      </c>
      <c r="N495" s="3" t="inlineStr">
        <is>
          <t>Câu "Bé Lan quạt cho bà ngủ" cho biết bà đang ngủ và Lan quạt cho bà. Câu đúng.</t>
        </is>
      </c>
      <c r="O495" s="14" t="n">
        <v>60</v>
      </c>
      <c r="P495" s="14">
        <f>INDEX(Khung_cap_do!$H$2:$H$6,H495)</f>
        <v/>
      </c>
      <c r="Q495" s="3" t="inlineStr">
        <is>
          <t>V1.DOC.04</t>
        </is>
      </c>
      <c r="R495" s="3" t="inlineStr">
        <is>
          <t>TV.DOCHIEU</t>
        </is>
      </c>
    </row>
    <row r="496">
      <c r="A496" s="3" t="inlineStr">
        <is>
          <t>tv1-kntt-c02-q6</t>
        </is>
      </c>
      <c r="B496" s="3" t="inlineStr">
        <is>
          <t>Tiếng Việt</t>
        </is>
      </c>
      <c r="C496" s="3" t="inlineStr">
        <is>
          <t>Kết nối tri thức</t>
        </is>
      </c>
      <c r="D496" s="3" t="inlineStr">
        <is>
          <t>Tập hai · Chủ đề 2</t>
        </is>
      </c>
      <c r="E496" s="3" t="inlineStr">
        <is>
          <t>Học kì 2 · Chủ đề 1–4</t>
        </is>
      </c>
      <c r="F496" s="3" t="inlineStr">
        <is>
          <t>Chủ đề 2. Mái ấm gia đình</t>
        </is>
      </c>
      <c r="G496" s="3" t="inlineStr">
        <is>
          <t>Sắp xếp</t>
        </is>
      </c>
      <c r="H496" s="14" t="n">
        <v>4</v>
      </c>
      <c r="I496" s="3" t="inlineStr">
        <is>
          <t>Thử thách</t>
        </is>
      </c>
      <c r="J496" s="3" t="inlineStr">
        <is>
          <t>Sắp xếp các từ ngữ thành câu đúng.</t>
        </is>
      </c>
      <c r="K496" s="3" t="inlineStr">
        <is>
          <t>Cả nhà / cùng nhau / em / ăn cơm</t>
        </is>
      </c>
      <c r="L496" s="3" t="inlineStr">
        <is>
          <t>Cả nhà → em → ăn cơm → cùng nhau</t>
        </is>
      </c>
      <c r="M496" s="3" t="inlineStr">
        <is>
          <t>Cả nhà em ăn cơm cùng nhau.</t>
        </is>
      </c>
      <c r="N496" s="3" t="inlineStr">
        <is>
          <t>"Cả nhà" viết hoa đứng đầu. Câu đúng: Cả nhà em ăn cơm cùng nhau.</t>
        </is>
      </c>
      <c r="O496" s="14" t="n">
        <v>75</v>
      </c>
      <c r="P496" s="14">
        <f>INDEX(Khung_cap_do!$H$2:$H$6,H496)</f>
        <v/>
      </c>
      <c r="Q496" s="3" t="inlineStr">
        <is>
          <t>V1.DOC.02</t>
        </is>
      </c>
      <c r="R496" s="3" t="inlineStr">
        <is>
          <t>TV.XEPCAU</t>
        </is>
      </c>
    </row>
    <row r="497">
      <c r="A497" s="3" t="inlineStr">
        <is>
          <t>tv1-kntt-c02-q7</t>
        </is>
      </c>
      <c r="B497" s="3" t="inlineStr">
        <is>
          <t>Tiếng Việt</t>
        </is>
      </c>
      <c r="C497" s="3" t="inlineStr">
        <is>
          <t>Kết nối tri thức</t>
        </is>
      </c>
      <c r="D497" s="3" t="inlineStr">
        <is>
          <t>Tập hai · Chủ đề 2</t>
        </is>
      </c>
      <c r="E497" s="3" t="inlineStr">
        <is>
          <t>Học kì 2 · Chủ đề 1–4</t>
        </is>
      </c>
      <c r="F497" s="3" t="inlineStr">
        <is>
          <t>Chủ đề 2. Mái ấm gia đình</t>
        </is>
      </c>
      <c r="G497" s="3" t="inlineStr">
        <is>
          <t>Chọn nhiều đáp án</t>
        </is>
      </c>
      <c r="H497" s="14" t="n">
        <v>4</v>
      </c>
      <c r="I497" s="3" t="inlineStr">
        <is>
          <t>Thử thách</t>
        </is>
      </c>
      <c r="J497" s="3" t="inlineStr">
        <is>
          <t>Câu "bố em tên là nguyễn văn an" cần viết hoa những chữ nào? Chọn tất cả.</t>
        </is>
      </c>
      <c r="K497" s="3" t="inlineStr">
        <is>
          <t>A. bố | B. em | C. nguyễn | D. văn | E. an</t>
        </is>
      </c>
      <c r="L497" s="3" t="inlineStr">
        <is>
          <t>A, C, D, E</t>
        </is>
      </c>
      <c r="M497" s="3" t="inlineStr">
        <is>
          <t>Viết hoa chữ đầu câu (Bố) và mỗi tiếng của tên người (Nguyễn Văn An).</t>
        </is>
      </c>
      <c r="N497" s="3" t="inlineStr">
        <is>
          <t>Chữ đầu câu phải viết hoa: Bố. Tên người gồm họ, tên đệm, tên; mỗi tiếng đều viết hoa: Nguyễn Văn An. Câu đúng: Bố em tên là Nguyễn Văn An.</t>
        </is>
      </c>
      <c r="O497" s="14" t="n">
        <v>80</v>
      </c>
      <c r="P497" s="14">
        <f>INDEX(Khung_cap_do!$H$2:$H$6,H497)</f>
        <v/>
      </c>
      <c r="Q497" s="3" t="inlineStr">
        <is>
          <t>V1.VIET.03</t>
        </is>
      </c>
      <c r="R497" s="3" t="inlineStr">
        <is>
          <t>TV.CHINHTA</t>
        </is>
      </c>
    </row>
    <row r="498">
      <c r="A498" s="3" t="inlineStr">
        <is>
          <t>tv1-kntt-c02-q8</t>
        </is>
      </c>
      <c r="B498" s="3" t="inlineStr">
        <is>
          <t>Tiếng Việt</t>
        </is>
      </c>
      <c r="C498" s="3" t="inlineStr">
        <is>
          <t>Kết nối tri thức</t>
        </is>
      </c>
      <c r="D498" s="3" t="inlineStr">
        <is>
          <t>Tập hai · Chủ đề 2</t>
        </is>
      </c>
      <c r="E498" s="3" t="inlineStr">
        <is>
          <t>Học kì 2 · Chủ đề 1–4</t>
        </is>
      </c>
      <c r="F498" s="3" t="inlineStr">
        <is>
          <t>Chủ đề 2. Mái ấm gia đình</t>
        </is>
      </c>
      <c r="G498" s="3" t="inlineStr">
        <is>
          <t>Ghép cặp</t>
        </is>
      </c>
      <c r="H498" s="14" t="n">
        <v>5</v>
      </c>
      <c r="I498" s="3" t="inlineStr">
        <is>
          <t>Mở rộng</t>
        </is>
      </c>
      <c r="J498" s="3" t="inlineStr">
        <is>
          <t>Ghép người trong gia đình với việc người đó làm.</t>
        </is>
      </c>
      <c r="K498" s="3" t="inlineStr">
        <is>
          <t>Mẹ ↔ ? / Bố ↔ ? / Em ↔ ?</t>
        </is>
      </c>
      <c r="L498" s="3" t="inlineStr">
        <is>
          <t>Mẹ – nấu cơm; Bố – sửa xe đạp; Em – quét nhà</t>
        </is>
      </c>
      <c r="M498" s="3" t="inlineStr">
        <is>
          <t>Mẹ nấu cơm, bố sửa xe đạp, em quét nhà.</t>
        </is>
      </c>
      <c r="N498" s="3" t="inlineStr">
        <is>
          <t>Đọc từng việc và ghép với người làm việc đó: mẹ nấu cơm, bố sửa xe đạp, em quét nhà.</t>
        </is>
      </c>
      <c r="O498" s="14" t="n">
        <v>90</v>
      </c>
      <c r="P498" s="14">
        <f>INDEX(Khung_cap_do!$H$2:$H$6,H498)</f>
        <v/>
      </c>
      <c r="Q498" s="3" t="inlineStr">
        <is>
          <t>V1.DOC.05</t>
        </is>
      </c>
      <c r="R498" s="3" t="inlineStr">
        <is>
          <t>TV.NOITU</t>
        </is>
      </c>
    </row>
    <row r="499">
      <c r="A499" s="3" t="inlineStr">
        <is>
          <t>tv1-kntt-c03-q1</t>
        </is>
      </c>
      <c r="B499" s="3" t="inlineStr">
        <is>
          <t>Tiếng Việt</t>
        </is>
      </c>
      <c r="C499" s="3" t="inlineStr">
        <is>
          <t>Kết nối tri thức</t>
        </is>
      </c>
      <c r="D499" s="3" t="inlineStr">
        <is>
          <t>Tập hai · Chủ đề 3</t>
        </is>
      </c>
      <c r="E499" s="3" t="inlineStr">
        <is>
          <t>Học kì 2 · Chủ đề 1–4</t>
        </is>
      </c>
      <c r="F499" s="3" t="inlineStr">
        <is>
          <t>Chủ đề 3. Mái trường mến yêu</t>
        </is>
      </c>
      <c r="G499" s="3" t="inlineStr">
        <is>
          <t>Chọn đáp án</t>
        </is>
      </c>
      <c r="H499" s="14" t="n">
        <v>1</v>
      </c>
      <c r="I499" s="3" t="inlineStr">
        <is>
          <t>Làm quen</t>
        </is>
      </c>
      <c r="J499" s="3" t="inlineStr">
        <is>
          <t>Từ nào chỉ đồ dùng học tập?</t>
        </is>
      </c>
      <c r="K499" s="3" t="inlineStr">
        <is>
          <t>A. bút chì | B. cái nồi | C. quả bóng</t>
        </is>
      </c>
      <c r="L499" s="3" t="inlineStr">
        <is>
          <t>A</t>
        </is>
      </c>
      <c r="M499" s="3" t="inlineStr">
        <is>
          <t>Bút chì là đồ dùng học tập.</t>
        </is>
      </c>
      <c r="N499" s="3" t="n"/>
      <c r="O499" s="14" t="n">
        <v>30</v>
      </c>
      <c r="P499" s="14">
        <f>INDEX(Khung_cap_do!$H$2:$H$6,H499)</f>
        <v/>
      </c>
      <c r="Q499" s="3" t="inlineStr">
        <is>
          <t>V1.VIET.04</t>
        </is>
      </c>
      <c r="R499" s="3" t="inlineStr">
        <is>
          <t>TV.TUNGU</t>
        </is>
      </c>
    </row>
    <row r="500">
      <c r="A500" s="3" t="inlineStr">
        <is>
          <t>tv1-kntt-c03-q2</t>
        </is>
      </c>
      <c r="B500" s="3" t="inlineStr">
        <is>
          <t>Tiếng Việt</t>
        </is>
      </c>
      <c r="C500" s="3" t="inlineStr">
        <is>
          <t>Kết nối tri thức</t>
        </is>
      </c>
      <c r="D500" s="3" t="inlineStr">
        <is>
          <t>Tập hai · Chủ đề 3</t>
        </is>
      </c>
      <c r="E500" s="3" t="inlineStr">
        <is>
          <t>Học kì 2 · Chủ đề 1–4</t>
        </is>
      </c>
      <c r="F500" s="3" t="inlineStr">
        <is>
          <t>Chủ đề 3. Mái trường mến yêu</t>
        </is>
      </c>
      <c r="G500" s="3" t="inlineStr">
        <is>
          <t>Chọn đáp án</t>
        </is>
      </c>
      <c r="H500" s="14" t="n">
        <v>1</v>
      </c>
      <c r="I500" s="3" t="inlineStr">
        <is>
          <t>Làm quen</t>
        </is>
      </c>
      <c r="J500" s="3" t="inlineStr">
        <is>
          <t>Ai dạy em đọc, viết ở trường?</t>
        </is>
      </c>
      <c r="K500" s="3" t="inlineStr">
        <is>
          <t>A. Cô giáo | B. Bác sĩ | C. Chú bộ đội</t>
        </is>
      </c>
      <c r="L500" s="3" t="inlineStr">
        <is>
          <t>A</t>
        </is>
      </c>
      <c r="M500" s="3" t="inlineStr">
        <is>
          <t>Cô giáo dạy em ở trường.</t>
        </is>
      </c>
      <c r="N500" s="3" t="n"/>
      <c r="O500" s="14" t="n">
        <v>30</v>
      </c>
      <c r="P500" s="14">
        <f>INDEX(Khung_cap_do!$H$2:$H$6,H500)</f>
        <v/>
      </c>
      <c r="Q500" s="3" t="inlineStr">
        <is>
          <t>V1.DOC.04</t>
        </is>
      </c>
      <c r="R500" s="3" t="inlineStr">
        <is>
          <t>TV.DOCHIEU</t>
        </is>
      </c>
    </row>
    <row r="501">
      <c r="A501" s="3" t="inlineStr">
        <is>
          <t>tv1-kntt-c03-q3</t>
        </is>
      </c>
      <c r="B501" s="3" t="inlineStr">
        <is>
          <t>Tiếng Việt</t>
        </is>
      </c>
      <c r="C501" s="3" t="inlineStr">
        <is>
          <t>Kết nối tri thức</t>
        </is>
      </c>
      <c r="D501" s="3" t="inlineStr">
        <is>
          <t>Tập hai · Chủ đề 3</t>
        </is>
      </c>
      <c r="E501" s="3" t="inlineStr">
        <is>
          <t>Học kì 2 · Chủ đề 1–4</t>
        </is>
      </c>
      <c r="F501" s="3" t="inlineStr">
        <is>
          <t>Chủ đề 3. Mái trường mến yêu</t>
        </is>
      </c>
      <c r="G501" s="3" t="inlineStr">
        <is>
          <t>Chọn đáp án</t>
        </is>
      </c>
      <c r="H501" s="14" t="n">
        <v>2</v>
      </c>
      <c r="I501" s="3" t="inlineStr">
        <is>
          <t>Cơ bản</t>
        </is>
      </c>
      <c r="J501" s="3" t="inlineStr">
        <is>
          <t>Điền tr hay ch: "…ống trường"</t>
        </is>
      </c>
      <c r="K501" s="3" t="inlineStr">
        <is>
          <t>A. ch | B. tr</t>
        </is>
      </c>
      <c r="L501" s="3" t="inlineStr">
        <is>
          <t>B</t>
        </is>
      </c>
      <c r="M501" s="3" t="inlineStr">
        <is>
          <t>Viết là "trống trường".</t>
        </is>
      </c>
      <c r="N501" s="3" t="n"/>
      <c r="O501" s="14" t="n">
        <v>40</v>
      </c>
      <c r="P501" s="14">
        <f>INDEX(Khung_cap_do!$H$2:$H$6,H501)</f>
        <v/>
      </c>
      <c r="Q501" s="3" t="inlineStr">
        <is>
          <t>V1.AM.04</t>
        </is>
      </c>
      <c r="R501" s="3" t="inlineStr">
        <is>
          <t>TV.CHINHTA</t>
        </is>
      </c>
    </row>
    <row r="502">
      <c r="A502" s="3" t="inlineStr">
        <is>
          <t>tv1-kntt-c03-q4</t>
        </is>
      </c>
      <c r="B502" s="3" t="inlineStr">
        <is>
          <t>Tiếng Việt</t>
        </is>
      </c>
      <c r="C502" s="3" t="inlineStr">
        <is>
          <t>Kết nối tri thức</t>
        </is>
      </c>
      <c r="D502" s="3" t="inlineStr">
        <is>
          <t>Tập hai · Chủ đề 3</t>
        </is>
      </c>
      <c r="E502" s="3" t="inlineStr">
        <is>
          <t>Học kì 2 · Chủ đề 1–4</t>
        </is>
      </c>
      <c r="F502" s="3" t="inlineStr">
        <is>
          <t>Chủ đề 3. Mái trường mến yêu</t>
        </is>
      </c>
      <c r="G502" s="3" t="inlineStr">
        <is>
          <t>Chọn đáp án</t>
        </is>
      </c>
      <c r="H502" s="14" t="n">
        <v>2</v>
      </c>
      <c r="I502" s="3" t="inlineStr">
        <is>
          <t>Cơ bản</t>
        </is>
      </c>
      <c r="J502" s="3" t="inlineStr">
        <is>
          <t>Chọn từ ngữ điền vào chỗ trống: "Giờ ra chơi, sân trường rất …"</t>
        </is>
      </c>
      <c r="K502" s="3" t="inlineStr">
        <is>
          <t>A. vui | B. buồn | C. tối</t>
        </is>
      </c>
      <c r="L502" s="3" t="inlineStr">
        <is>
          <t>A</t>
        </is>
      </c>
      <c r="M502" s="3" t="inlineStr">
        <is>
          <t>Giờ ra chơi, sân trường rất vui.</t>
        </is>
      </c>
      <c r="N502" s="3" t="n"/>
      <c r="O502" s="14" t="n">
        <v>50</v>
      </c>
      <c r="P502" s="14">
        <f>INDEX(Khung_cap_do!$H$2:$H$6,H502)</f>
        <v/>
      </c>
      <c r="Q502" s="3" t="inlineStr">
        <is>
          <t>V1.VIET.04</t>
        </is>
      </c>
      <c r="R502" s="3" t="inlineStr">
        <is>
          <t>TV.TUNGU</t>
        </is>
      </c>
    </row>
    <row r="503">
      <c r="A503" s="3" t="inlineStr">
        <is>
          <t>tv1-kntt-c03-q5</t>
        </is>
      </c>
      <c r="B503" s="3" t="inlineStr">
        <is>
          <t>Tiếng Việt</t>
        </is>
      </c>
      <c r="C503" s="3" t="inlineStr">
        <is>
          <t>Kết nối tri thức</t>
        </is>
      </c>
      <c r="D503" s="3" t="inlineStr">
        <is>
          <t>Tập hai · Chủ đề 3</t>
        </is>
      </c>
      <c r="E503" s="3" t="inlineStr">
        <is>
          <t>Học kì 2 · Chủ đề 1–4</t>
        </is>
      </c>
      <c r="F503" s="3" t="inlineStr">
        <is>
          <t>Chủ đề 3. Mái trường mến yêu</t>
        </is>
      </c>
      <c r="G503" s="3" t="inlineStr">
        <is>
          <t>Chọn nhiều đáp án</t>
        </is>
      </c>
      <c r="H503" s="14" t="n">
        <v>3</v>
      </c>
      <c r="I503" s="3" t="inlineStr">
        <is>
          <t>Vận dụng</t>
        </is>
      </c>
      <c r="J503" s="3" t="inlineStr">
        <is>
          <t>Chọn tất cả các trò chơi bổ ích giờ ra chơi.</t>
        </is>
      </c>
      <c r="K503" s="3" t="inlineStr">
        <is>
          <t>A. nhảy dây | B. đá cầu | C. đọc truyện | D. trèo cây cao</t>
        </is>
      </c>
      <c r="L503" s="3" t="inlineStr">
        <is>
          <t>A, B, C</t>
        </is>
      </c>
      <c r="M503" s="3" t="inlineStr">
        <is>
          <t>Trèo cây cao dễ ngã, không an toàn.</t>
        </is>
      </c>
      <c r="N503" s="3" t="inlineStr">
        <is>
          <t>Trò chơi bổ ích phải vui và an toàn: nhảy dây, đá cầu, đọc truyện. Trèo cây cao rất nguy hiểm.</t>
        </is>
      </c>
      <c r="O503" s="14" t="n">
        <v>60</v>
      </c>
      <c r="P503" s="14">
        <f>INDEX(Khung_cap_do!$H$2:$H$6,H503)</f>
        <v/>
      </c>
      <c r="Q503" s="3" t="inlineStr">
        <is>
          <t>V1.VIET.04</t>
        </is>
      </c>
      <c r="R503" s="3" t="inlineStr">
        <is>
          <t>TV.TUNGU</t>
        </is>
      </c>
    </row>
    <row r="504">
      <c r="A504" s="3" t="inlineStr">
        <is>
          <t>tv1-kntt-c03-q6</t>
        </is>
      </c>
      <c r="B504" s="3" t="inlineStr">
        <is>
          <t>Tiếng Việt</t>
        </is>
      </c>
      <c r="C504" s="3" t="inlineStr">
        <is>
          <t>Kết nối tri thức</t>
        </is>
      </c>
      <c r="D504" s="3" t="inlineStr">
        <is>
          <t>Tập hai · Chủ đề 3</t>
        </is>
      </c>
      <c r="E504" s="3" t="inlineStr">
        <is>
          <t>Học kì 2 · Chủ đề 1–4</t>
        </is>
      </c>
      <c r="F504" s="3" t="inlineStr">
        <is>
          <t>Chủ đề 3. Mái trường mến yêu</t>
        </is>
      </c>
      <c r="G504" s="3" t="inlineStr">
        <is>
          <t>Đúng / Sai</t>
        </is>
      </c>
      <c r="H504" s="14" t="n">
        <v>3</v>
      </c>
      <c r="I504" s="3" t="inlineStr">
        <is>
          <t>Vận dụng</t>
        </is>
      </c>
      <c r="J504" s="3" t="inlineStr">
        <is>
          <t>Tiếng trống trường báo giờ vào lớp và giờ ra về. Đúng hay sai?</t>
        </is>
      </c>
      <c r="K504" s="3" t="inlineStr">
        <is>
          <t>A. Đúng | B. Sai</t>
        </is>
      </c>
      <c r="L504" s="3" t="inlineStr">
        <is>
          <t>A</t>
        </is>
      </c>
      <c r="M504" s="3" t="inlineStr">
        <is>
          <t>Trống trường báo giờ vào lớp, ra chơi, ra về.</t>
        </is>
      </c>
      <c r="N504" s="3" t="inlineStr">
        <is>
          <t>Ở trường, tiếng trống báo cho học sinh biết giờ vào lớp, giờ ra chơi và giờ ra về. Câu đúng.</t>
        </is>
      </c>
      <c r="O504" s="14" t="n">
        <v>60</v>
      </c>
      <c r="P504" s="14">
        <f>INDEX(Khung_cap_do!$H$2:$H$6,H504)</f>
        <v/>
      </c>
      <c r="Q504" s="3" t="inlineStr">
        <is>
          <t>V1.DOC.04</t>
        </is>
      </c>
      <c r="R504" s="3" t="inlineStr">
        <is>
          <t>TV.DOCHIEU</t>
        </is>
      </c>
    </row>
    <row r="505">
      <c r="A505" s="3" t="inlineStr">
        <is>
          <t>tv1-kntt-c03-q7</t>
        </is>
      </c>
      <c r="B505" s="3" t="inlineStr">
        <is>
          <t>Tiếng Việt</t>
        </is>
      </c>
      <c r="C505" s="3" t="inlineStr">
        <is>
          <t>Kết nối tri thức</t>
        </is>
      </c>
      <c r="D505" s="3" t="inlineStr">
        <is>
          <t>Tập hai · Chủ đề 3</t>
        </is>
      </c>
      <c r="E505" s="3" t="inlineStr">
        <is>
          <t>Học kì 2 · Chủ đề 1–4</t>
        </is>
      </c>
      <c r="F505" s="3" t="inlineStr">
        <is>
          <t>Chủ đề 3. Mái trường mến yêu</t>
        </is>
      </c>
      <c r="G505" s="3" t="inlineStr">
        <is>
          <t>Sắp xếp</t>
        </is>
      </c>
      <c r="H505" s="14" t="n">
        <v>4</v>
      </c>
      <c r="I505" s="3" t="inlineStr">
        <is>
          <t>Thử thách</t>
        </is>
      </c>
      <c r="J505" s="3" t="inlineStr">
        <is>
          <t>Sắp xếp các từ ngữ thành câu đúng.</t>
        </is>
      </c>
      <c r="K505" s="3" t="inlineStr">
        <is>
          <t>Em / của em / mái trường / yêu</t>
        </is>
      </c>
      <c r="L505" s="3" t="inlineStr">
        <is>
          <t>Em → yêu → mái trường → của em</t>
        </is>
      </c>
      <c r="M505" s="3" t="inlineStr">
        <is>
          <t>Em yêu mái trường của em.</t>
        </is>
      </c>
      <c r="N505" s="3" t="inlineStr">
        <is>
          <t>Từ viết hoa "Em" đứng đầu: Em yêu mái trường của em.</t>
        </is>
      </c>
      <c r="O505" s="14" t="n">
        <v>75</v>
      </c>
      <c r="P505" s="14">
        <f>INDEX(Khung_cap_do!$H$2:$H$6,H505)</f>
        <v/>
      </c>
      <c r="Q505" s="3" t="inlineStr">
        <is>
          <t>V1.DOC.02</t>
        </is>
      </c>
      <c r="R505" s="3" t="inlineStr">
        <is>
          <t>TV.XEPCAU</t>
        </is>
      </c>
    </row>
    <row r="506">
      <c r="A506" s="3" t="inlineStr">
        <is>
          <t>tv1-kntt-c03-q8</t>
        </is>
      </c>
      <c r="B506" s="3" t="inlineStr">
        <is>
          <t>Tiếng Việt</t>
        </is>
      </c>
      <c r="C506" s="3" t="inlineStr">
        <is>
          <t>Kết nối tri thức</t>
        </is>
      </c>
      <c r="D506" s="3" t="inlineStr">
        <is>
          <t>Tập hai · Chủ đề 3</t>
        </is>
      </c>
      <c r="E506" s="3" t="inlineStr">
        <is>
          <t>Học kì 2 · Chủ đề 1–4</t>
        </is>
      </c>
      <c r="F506" s="3" t="inlineStr">
        <is>
          <t>Chủ đề 3. Mái trường mến yêu</t>
        </is>
      </c>
      <c r="G506" s="3" t="inlineStr">
        <is>
          <t>Ghép cặp</t>
        </is>
      </c>
      <c r="H506" s="14" t="n">
        <v>5</v>
      </c>
      <c r="I506" s="3" t="inlineStr">
        <is>
          <t>Mở rộng</t>
        </is>
      </c>
      <c r="J506" s="3" t="inlineStr">
        <is>
          <t>Ghép đồ vật với nơi để đồ vật ở trường.</t>
        </is>
      </c>
      <c r="K506" s="3" t="inlineStr">
        <is>
          <t>Cái trống ↔ ? / Quyển truyện ↔ ? / Cái bảng ↔ ?</t>
        </is>
      </c>
      <c r="L506" s="3" t="inlineStr">
        <is>
          <t>Cái trống – góc sân trường; Quyển truyện – thư viện; Cái bảng – lớp học</t>
        </is>
      </c>
      <c r="M506" s="3" t="inlineStr">
        <is>
          <t>Trống ở góc sân, truyện ở thư viện, bảng ở lớp học.</t>
        </is>
      </c>
      <c r="N506" s="3" t="inlineStr">
        <is>
          <t>Nghĩ xem ở trường em thấy mỗi đồ vật ở đâu: trống ở sân trường, truyện ở thư viện, bảng trong lớp học.</t>
        </is>
      </c>
      <c r="O506" s="14" t="n">
        <v>90</v>
      </c>
      <c r="P506" s="14">
        <f>INDEX(Khung_cap_do!$H$2:$H$6,H506)</f>
        <v/>
      </c>
      <c r="Q506" s="3" t="inlineStr">
        <is>
          <t>V1.DOC.05</t>
        </is>
      </c>
      <c r="R506" s="3" t="inlineStr">
        <is>
          <t>TV.NOITU</t>
        </is>
      </c>
    </row>
    <row r="507">
      <c r="A507" s="3" t="inlineStr">
        <is>
          <t>tv1-kntt-c04-q1</t>
        </is>
      </c>
      <c r="B507" s="3" t="inlineStr">
        <is>
          <t>Tiếng Việt</t>
        </is>
      </c>
      <c r="C507" s="3" t="inlineStr">
        <is>
          <t>Kết nối tri thức</t>
        </is>
      </c>
      <c r="D507" s="3" t="inlineStr">
        <is>
          <t>Tập hai · Chủ đề 4</t>
        </is>
      </c>
      <c r="E507" s="3" t="inlineStr">
        <is>
          <t>Học kì 2 · Chủ đề 1–4</t>
        </is>
      </c>
      <c r="F507" s="3" t="inlineStr">
        <is>
          <t>Chủ đề 4. Điều em cần biết</t>
        </is>
      </c>
      <c r="G507" s="3" t="inlineStr">
        <is>
          <t>Chọn đáp án</t>
        </is>
      </c>
      <c r="H507" s="14" t="n">
        <v>1</v>
      </c>
      <c r="I507" s="3" t="inlineStr">
        <is>
          <t>Làm quen</t>
        </is>
      </c>
      <c r="J507" s="3" t="inlineStr">
        <is>
          <t>Trước khi ăn, em cần làm gì?</t>
        </is>
      </c>
      <c r="K507" s="3" t="inlineStr">
        <is>
          <t>A. Rửa tay | B. Đi ngủ | C. Chạy nhảy</t>
        </is>
      </c>
      <c r="L507" s="3" t="inlineStr">
        <is>
          <t>A</t>
        </is>
      </c>
      <c r="M507" s="3" t="inlineStr">
        <is>
          <t>Rửa tay sạch trước khi ăn.</t>
        </is>
      </c>
      <c r="N507" s="3" t="n"/>
      <c r="O507" s="14" t="n">
        <v>30</v>
      </c>
      <c r="P507" s="14">
        <f>INDEX(Khung_cap_do!$H$2:$H$6,H507)</f>
        <v/>
      </c>
      <c r="Q507" s="3" t="inlineStr">
        <is>
          <t>V1.DOC.04</t>
        </is>
      </c>
      <c r="R507" s="3" t="inlineStr">
        <is>
          <t>TV.DOCHIEU</t>
        </is>
      </c>
    </row>
    <row r="508">
      <c r="A508" s="3" t="inlineStr">
        <is>
          <t>tv1-kntt-c04-q2</t>
        </is>
      </c>
      <c r="B508" s="3" t="inlineStr">
        <is>
          <t>Tiếng Việt</t>
        </is>
      </c>
      <c r="C508" s="3" t="inlineStr">
        <is>
          <t>Kết nối tri thức</t>
        </is>
      </c>
      <c r="D508" s="3" t="inlineStr">
        <is>
          <t>Tập hai · Chủ đề 4</t>
        </is>
      </c>
      <c r="E508" s="3" t="inlineStr">
        <is>
          <t>Học kì 2 · Chủ đề 1–4</t>
        </is>
      </c>
      <c r="F508" s="3" t="inlineStr">
        <is>
          <t>Chủ đề 4. Điều em cần biết</t>
        </is>
      </c>
      <c r="G508" s="3" t="inlineStr">
        <is>
          <t>Chọn đáp án</t>
        </is>
      </c>
      <c r="H508" s="14" t="n">
        <v>1</v>
      </c>
      <c r="I508" s="3" t="inlineStr">
        <is>
          <t>Làm quen</t>
        </is>
      </c>
      <c r="J508" s="3" t="inlineStr">
        <is>
          <t>Đèn giao thông màu gì thì phải dừng lại?</t>
        </is>
      </c>
      <c r="K508" s="3" t="inlineStr">
        <is>
          <t>A. Đèn đỏ | B. Đèn xanh</t>
        </is>
      </c>
      <c r="L508" s="3" t="inlineStr">
        <is>
          <t>A</t>
        </is>
      </c>
      <c r="M508" s="3" t="inlineStr">
        <is>
          <t>Đèn đỏ: dừng lại.</t>
        </is>
      </c>
      <c r="N508" s="3" t="n"/>
      <c r="O508" s="14" t="n">
        <v>30</v>
      </c>
      <c r="P508" s="14">
        <f>INDEX(Khung_cap_do!$H$2:$H$6,H508)</f>
        <v/>
      </c>
      <c r="Q508" s="3" t="inlineStr">
        <is>
          <t>V1.DOC.04</t>
        </is>
      </c>
      <c r="R508" s="3" t="inlineStr">
        <is>
          <t>TV.DOCHIEU</t>
        </is>
      </c>
    </row>
    <row r="509">
      <c r="A509" s="3" t="inlineStr">
        <is>
          <t>tv1-kntt-c04-q3</t>
        </is>
      </c>
      <c r="B509" s="3" t="inlineStr">
        <is>
          <t>Tiếng Việt</t>
        </is>
      </c>
      <c r="C509" s="3" t="inlineStr">
        <is>
          <t>Kết nối tri thức</t>
        </is>
      </c>
      <c r="D509" s="3" t="inlineStr">
        <is>
          <t>Tập hai · Chủ đề 4</t>
        </is>
      </c>
      <c r="E509" s="3" t="inlineStr">
        <is>
          <t>Học kì 2 · Chủ đề 1–4</t>
        </is>
      </c>
      <c r="F509" s="3" t="inlineStr">
        <is>
          <t>Chủ đề 4. Điều em cần biết</t>
        </is>
      </c>
      <c r="G509" s="3" t="inlineStr">
        <is>
          <t>Chọn đáp án</t>
        </is>
      </c>
      <c r="H509" s="14" t="n">
        <v>2</v>
      </c>
      <c r="I509" s="3" t="inlineStr">
        <is>
          <t>Cơ bản</t>
        </is>
      </c>
      <c r="J509" s="3" t="inlineStr">
        <is>
          <t>Khi gặp người lớn, em nên:</t>
        </is>
      </c>
      <c r="K509" s="3" t="inlineStr">
        <is>
          <t>A. Chào hỏi lễ phép | B. Quay đi | C. Chạy thật nhanh</t>
        </is>
      </c>
      <c r="L509" s="3" t="inlineStr">
        <is>
          <t>A</t>
        </is>
      </c>
      <c r="M509" s="3" t="inlineStr">
        <is>
          <t>Gặp người lớn, em chào hỏi lễ phép.</t>
        </is>
      </c>
      <c r="N509" s="3" t="n"/>
      <c r="O509" s="14" t="n">
        <v>40</v>
      </c>
      <c r="P509" s="14">
        <f>INDEX(Khung_cap_do!$H$2:$H$6,H509)</f>
        <v/>
      </c>
      <c r="Q509" s="3" t="inlineStr">
        <is>
          <t>V1.NN.01</t>
        </is>
      </c>
      <c r="R509" s="3" t="inlineStr">
        <is>
          <t>TV.DOCHIEU</t>
        </is>
      </c>
    </row>
    <row r="510">
      <c r="A510" s="3" t="inlineStr">
        <is>
          <t>tv1-kntt-c04-q4</t>
        </is>
      </c>
      <c r="B510" s="3" t="inlineStr">
        <is>
          <t>Tiếng Việt</t>
        </is>
      </c>
      <c r="C510" s="3" t="inlineStr">
        <is>
          <t>Kết nối tri thức</t>
        </is>
      </c>
      <c r="D510" s="3" t="inlineStr">
        <is>
          <t>Tập hai · Chủ đề 4</t>
        </is>
      </c>
      <c r="E510" s="3" t="inlineStr">
        <is>
          <t>Học kì 2 · Chủ đề 1–4</t>
        </is>
      </c>
      <c r="F510" s="3" t="inlineStr">
        <is>
          <t>Chủ đề 4. Điều em cần biết</t>
        </is>
      </c>
      <c r="G510" s="3" t="inlineStr">
        <is>
          <t>Chọn đáp án</t>
        </is>
      </c>
      <c r="H510" s="14" t="n">
        <v>2</v>
      </c>
      <c r="I510" s="3" t="inlineStr">
        <is>
          <t>Cơ bản</t>
        </is>
      </c>
      <c r="J510" s="3" t="inlineStr">
        <is>
          <t>Điền l hay n: "… ước sạch"</t>
        </is>
      </c>
      <c r="K510" s="3" t="inlineStr">
        <is>
          <t>A. l | B. n</t>
        </is>
      </c>
      <c r="L510" s="3" t="inlineStr">
        <is>
          <t>B</t>
        </is>
      </c>
      <c r="M510" s="3" t="inlineStr">
        <is>
          <t>Viết là "nước sạch".</t>
        </is>
      </c>
      <c r="N510" s="3" t="n"/>
      <c r="O510" s="14" t="n">
        <v>40</v>
      </c>
      <c r="P510" s="14">
        <f>INDEX(Khung_cap_do!$H$2:$H$6,H510)</f>
        <v/>
      </c>
      <c r="Q510" s="3" t="inlineStr">
        <is>
          <t>V1.AM.04</t>
        </is>
      </c>
      <c r="R510" s="3" t="inlineStr">
        <is>
          <t>TV.CHINHTA</t>
        </is>
      </c>
    </row>
    <row r="511">
      <c r="A511" s="3" t="inlineStr">
        <is>
          <t>tv1-kntt-c04-q5</t>
        </is>
      </c>
      <c r="B511" s="3" t="inlineStr">
        <is>
          <t>Tiếng Việt</t>
        </is>
      </c>
      <c r="C511" s="3" t="inlineStr">
        <is>
          <t>Kết nối tri thức</t>
        </is>
      </c>
      <c r="D511" s="3" t="inlineStr">
        <is>
          <t>Tập hai · Chủ đề 4</t>
        </is>
      </c>
      <c r="E511" s="3" t="inlineStr">
        <is>
          <t>Học kì 2 · Chủ đề 1–4</t>
        </is>
      </c>
      <c r="F511" s="3" t="inlineStr">
        <is>
          <t>Chủ đề 4. Điều em cần biết</t>
        </is>
      </c>
      <c r="G511" s="3" t="inlineStr">
        <is>
          <t>Đúng / Sai</t>
        </is>
      </c>
      <c r="H511" s="14" t="n">
        <v>3</v>
      </c>
      <c r="I511" s="3" t="inlineStr">
        <is>
          <t>Vận dụng</t>
        </is>
      </c>
      <c r="J511" s="3" t="inlineStr">
        <is>
          <t>Ở nhà một mình, có người lạ gõ cửa thì em mở cửa ngay. Đúng hay sai?</t>
        </is>
      </c>
      <c r="K511" s="3" t="inlineStr">
        <is>
          <t>A. Đúng | B. Sai</t>
        </is>
      </c>
      <c r="L511" s="3" t="inlineStr">
        <is>
          <t>B</t>
        </is>
      </c>
      <c r="M511" s="3" t="inlineStr">
        <is>
          <t>Không mở cửa cho người lạ; gọi điện cho bố mẹ.</t>
        </is>
      </c>
      <c r="N511" s="3" t="inlineStr">
        <is>
          <t>Khi ở nhà một mình, em không mở cửa cho người lạ. Em gọi điện cho bố mẹ hoặc người lớn tin cậy. Câu đã cho là sai.</t>
        </is>
      </c>
      <c r="O511" s="14" t="n">
        <v>60</v>
      </c>
      <c r="P511" s="14">
        <f>INDEX(Khung_cap_do!$H$2:$H$6,H511)</f>
        <v/>
      </c>
      <c r="Q511" s="3" t="inlineStr">
        <is>
          <t>V1.DOC.04</t>
        </is>
      </c>
      <c r="R511" s="3" t="inlineStr">
        <is>
          <t>TV.DOCHIEU</t>
        </is>
      </c>
    </row>
    <row r="512">
      <c r="A512" s="3" t="inlineStr">
        <is>
          <t>tv1-kntt-c04-q6</t>
        </is>
      </c>
      <c r="B512" s="3" t="inlineStr">
        <is>
          <t>Tiếng Việt</t>
        </is>
      </c>
      <c r="C512" s="3" t="inlineStr">
        <is>
          <t>Kết nối tri thức</t>
        </is>
      </c>
      <c r="D512" s="3" t="inlineStr">
        <is>
          <t>Tập hai · Chủ đề 4</t>
        </is>
      </c>
      <c r="E512" s="3" t="inlineStr">
        <is>
          <t>Học kì 2 · Chủ đề 1–4</t>
        </is>
      </c>
      <c r="F512" s="3" t="inlineStr">
        <is>
          <t>Chủ đề 4. Điều em cần biết</t>
        </is>
      </c>
      <c r="G512" s="3" t="inlineStr">
        <is>
          <t>Chọn nhiều đáp án</t>
        </is>
      </c>
      <c r="H512" s="14" t="n">
        <v>4</v>
      </c>
      <c r="I512" s="3" t="inlineStr">
        <is>
          <t>Thử thách</t>
        </is>
      </c>
      <c r="J512" s="3" t="inlineStr">
        <is>
          <t>Nếu không may bị lạc, em nên làm gì?</t>
        </is>
      </c>
      <c r="K512" s="3" t="inlineStr">
        <is>
          <t>A. Đứng yên ở chỗ dễ thấy | B. Nhờ chú công an giúp | C. Đi theo người lạ | D. Nhớ số điện thoại của bố mẹ</t>
        </is>
      </c>
      <c r="L512" s="3" t="inlineStr">
        <is>
          <t>A, B, D</t>
        </is>
      </c>
      <c r="M512" s="3" t="inlineStr">
        <is>
          <t>Không đi theo người lạ.</t>
        </is>
      </c>
      <c r="N512" s="3" t="inlineStr">
        <is>
          <t>Bị lạc: đứng yên ở nơi dễ thấy để bố mẹ tìm, nhờ chú công an hoặc người bán hàng giúp, đọc số điện thoại của bố mẹ. Không đi theo người lạ.</t>
        </is>
      </c>
      <c r="O512" s="14" t="n">
        <v>70</v>
      </c>
      <c r="P512" s="14">
        <f>INDEX(Khung_cap_do!$H$2:$H$6,H512)</f>
        <v/>
      </c>
      <c r="Q512" s="3" t="inlineStr">
        <is>
          <t>V1.DOC.04</t>
        </is>
      </c>
      <c r="R512" s="3" t="inlineStr">
        <is>
          <t>TV.DOCHIEU</t>
        </is>
      </c>
    </row>
    <row r="513">
      <c r="A513" s="3" t="inlineStr">
        <is>
          <t>tv1-kntt-c04-q7</t>
        </is>
      </c>
      <c r="B513" s="3" t="inlineStr">
        <is>
          <t>Tiếng Việt</t>
        </is>
      </c>
      <c r="C513" s="3" t="inlineStr">
        <is>
          <t>Kết nối tri thức</t>
        </is>
      </c>
      <c r="D513" s="3" t="inlineStr">
        <is>
          <t>Tập hai · Chủ đề 4</t>
        </is>
      </c>
      <c r="E513" s="3" t="inlineStr">
        <is>
          <t>Học kì 2 · Chủ đề 1–4</t>
        </is>
      </c>
      <c r="F513" s="3" t="inlineStr">
        <is>
          <t>Chủ đề 4. Điều em cần biết</t>
        </is>
      </c>
      <c r="G513" s="3" t="inlineStr">
        <is>
          <t>Sắp xếp</t>
        </is>
      </c>
      <c r="H513" s="14" t="n">
        <v>4</v>
      </c>
      <c r="I513" s="3" t="inlineStr">
        <is>
          <t>Thử thách</t>
        </is>
      </c>
      <c r="J513" s="3" t="inlineStr">
        <is>
          <t>Sắp xếp các việc rửa tay theo đúng thứ tự.</t>
        </is>
      </c>
      <c r="K513" s="3" t="inlineStr">
        <is>
          <t>Lau khô tay / Làm ướt tay / Rửa sạch bằng nước / Xoa xà phòng</t>
        </is>
      </c>
      <c r="L513" s="3" t="inlineStr">
        <is>
          <t>Làm ướt tay → Xoa xà phòng → Rửa sạch bằng nước → Lau khô tay</t>
        </is>
      </c>
      <c r="M513" s="3" t="inlineStr">
        <is>
          <t>Làm ướt tay → xoa xà phòng → rửa sạch → lau khô.</t>
        </is>
      </c>
      <c r="N513" s="3" t="inlineStr">
        <is>
          <t>Rửa tay theo thứ tự: làm ướt tay, xoa xà phòng, rửa sạch bằng nước, lau khô tay bằng khăn sạch.</t>
        </is>
      </c>
      <c r="O513" s="14" t="n">
        <v>75</v>
      </c>
      <c r="P513" s="14">
        <f>INDEX(Khung_cap_do!$H$2:$H$6,H513)</f>
        <v/>
      </c>
      <c r="Q513" s="3" t="inlineStr">
        <is>
          <t>V1.DOC.06</t>
        </is>
      </c>
      <c r="R513" s="3" t="inlineStr">
        <is>
          <t>TV.XEPCAU</t>
        </is>
      </c>
    </row>
    <row r="514">
      <c r="A514" s="3" t="inlineStr">
        <is>
          <t>tv1-kntt-c04-q8</t>
        </is>
      </c>
      <c r="B514" s="3" t="inlineStr">
        <is>
          <t>Tiếng Việt</t>
        </is>
      </c>
      <c r="C514" s="3" t="inlineStr">
        <is>
          <t>Kết nối tri thức</t>
        </is>
      </c>
      <c r="D514" s="3" t="inlineStr">
        <is>
          <t>Tập hai · Chủ đề 4</t>
        </is>
      </c>
      <c r="E514" s="3" t="inlineStr">
        <is>
          <t>Học kì 2 · Chủ đề 1–4</t>
        </is>
      </c>
      <c r="F514" s="3" t="inlineStr">
        <is>
          <t>Chủ đề 4. Điều em cần biết</t>
        </is>
      </c>
      <c r="G514" s="3" t="inlineStr">
        <is>
          <t>Ghép cặp</t>
        </is>
      </c>
      <c r="H514" s="14" t="n">
        <v>5</v>
      </c>
      <c r="I514" s="3" t="inlineStr">
        <is>
          <t>Mở rộng</t>
        </is>
      </c>
      <c r="J514" s="3" t="inlineStr">
        <is>
          <t>Ghép màu đèn giao thông với việc cần làm.</t>
        </is>
      </c>
      <c r="K514" s="3" t="inlineStr">
        <is>
          <t>Đèn đỏ ↔ ? / Đèn vàng ↔ ? / Đèn xanh ↔ ?</t>
        </is>
      </c>
      <c r="L514" s="3" t="inlineStr">
        <is>
          <t>Đèn đỏ – Dừng lại; Đèn vàng – Đi chậm lại; Đèn xanh – Được đi</t>
        </is>
      </c>
      <c r="M514" s="3" t="inlineStr">
        <is>
          <t>Đỏ dừng, vàng chậm lại, xanh đi.</t>
        </is>
      </c>
      <c r="N514" s="3" t="inlineStr">
        <is>
          <t>Nhớ quy tắc đèn giao thông: đèn đỏ dừng lại, đèn vàng đi chậm lại, đèn xanh được đi.</t>
        </is>
      </c>
      <c r="O514" s="14" t="n">
        <v>90</v>
      </c>
      <c r="P514" s="14">
        <f>INDEX(Khung_cap_do!$H$2:$H$6,H514)</f>
        <v/>
      </c>
      <c r="Q514" s="3" t="inlineStr">
        <is>
          <t>V1.DOC.06</t>
        </is>
      </c>
      <c r="R514" s="3" t="inlineStr">
        <is>
          <t>TV.NOITU</t>
        </is>
      </c>
    </row>
    <row r="515">
      <c r="A515" s="3" t="inlineStr">
        <is>
          <t>tv1-kntt-c05-q1</t>
        </is>
      </c>
      <c r="B515" s="3" t="inlineStr">
        <is>
          <t>Tiếng Việt</t>
        </is>
      </c>
      <c r="C515" s="3" t="inlineStr">
        <is>
          <t>Kết nối tri thức</t>
        </is>
      </c>
      <c r="D515" s="3" t="inlineStr">
        <is>
          <t>Tập hai · Chủ đề 5</t>
        </is>
      </c>
      <c r="E515" s="3" t="inlineStr">
        <is>
          <t>Học kì 2 · Chủ đề 5–8 và ôn tập cuối năm</t>
        </is>
      </c>
      <c r="F515" s="3" t="inlineStr">
        <is>
          <t>Chủ đề 5. Bài học từ cuộc sống</t>
        </is>
      </c>
      <c r="G515" s="3" t="inlineStr">
        <is>
          <t>Chọn đáp án</t>
        </is>
      </c>
      <c r="H515" s="14" t="n">
        <v>1</v>
      </c>
      <c r="I515" s="3" t="inlineStr">
        <is>
          <t>Làm quen</t>
        </is>
      </c>
      <c r="J515" s="3" t="inlineStr">
        <is>
          <t>Con vật nào chăm chỉ tha mồi về tổ?</t>
        </is>
      </c>
      <c r="K515" s="3" t="inlineStr">
        <is>
          <t>A. Con kiến | B. Con ve</t>
        </is>
      </c>
      <c r="L515" s="3" t="inlineStr">
        <is>
          <t>A</t>
        </is>
      </c>
      <c r="M515" s="3" t="inlineStr">
        <is>
          <t>Kiến chăm chỉ tha mồi.</t>
        </is>
      </c>
      <c r="N515" s="3" t="n"/>
      <c r="O515" s="14" t="n">
        <v>30</v>
      </c>
      <c r="P515" s="14">
        <f>INDEX(Khung_cap_do!$H$2:$H$6,H515)</f>
        <v/>
      </c>
      <c r="Q515" s="3" t="inlineStr">
        <is>
          <t>V1.DOC.04</t>
        </is>
      </c>
      <c r="R515" s="3" t="inlineStr">
        <is>
          <t>TV.DOCHIEU</t>
        </is>
      </c>
    </row>
    <row r="516">
      <c r="A516" s="3" t="inlineStr">
        <is>
          <t>tv1-kntt-c05-q2</t>
        </is>
      </c>
      <c r="B516" s="3" t="inlineStr">
        <is>
          <t>Tiếng Việt</t>
        </is>
      </c>
      <c r="C516" s="3" t="inlineStr">
        <is>
          <t>Kết nối tri thức</t>
        </is>
      </c>
      <c r="D516" s="3" t="inlineStr">
        <is>
          <t>Tập hai · Chủ đề 5</t>
        </is>
      </c>
      <c r="E516" s="3" t="inlineStr">
        <is>
          <t>Học kì 2 · Chủ đề 5–8 và ôn tập cuối năm</t>
        </is>
      </c>
      <c r="F516" s="3" t="inlineStr">
        <is>
          <t>Chủ đề 5. Bài học từ cuộc sống</t>
        </is>
      </c>
      <c r="G516" s="3" t="inlineStr">
        <is>
          <t>Chọn đáp án</t>
        </is>
      </c>
      <c r="H516" s="14" t="n">
        <v>1</v>
      </c>
      <c r="I516" s="3" t="inlineStr">
        <is>
          <t>Làm quen</t>
        </is>
      </c>
      <c r="J516" s="3" t="inlineStr">
        <is>
          <t>Từ nào chỉ tính nết tốt?</t>
        </is>
      </c>
      <c r="K516" s="3" t="inlineStr">
        <is>
          <t>A. chăm chỉ | B. lười biếng | C. nói dối</t>
        </is>
      </c>
      <c r="L516" s="3" t="inlineStr">
        <is>
          <t>A</t>
        </is>
      </c>
      <c r="M516" s="3" t="inlineStr">
        <is>
          <t>Chăm chỉ là tính nết tốt.</t>
        </is>
      </c>
      <c r="N516" s="3" t="n"/>
      <c r="O516" s="14" t="n">
        <v>30</v>
      </c>
      <c r="P516" s="14">
        <f>INDEX(Khung_cap_do!$H$2:$H$6,H516)</f>
        <v/>
      </c>
      <c r="Q516" s="3" t="inlineStr">
        <is>
          <t>V1.VIET.04</t>
        </is>
      </c>
      <c r="R516" s="3" t="inlineStr">
        <is>
          <t>TV.TUNGU</t>
        </is>
      </c>
    </row>
    <row r="517">
      <c r="A517" s="3" t="inlineStr">
        <is>
          <t>tv1-kntt-c05-q3</t>
        </is>
      </c>
      <c r="B517" s="3" t="inlineStr">
        <is>
          <t>Tiếng Việt</t>
        </is>
      </c>
      <c r="C517" s="3" t="inlineStr">
        <is>
          <t>Kết nối tri thức</t>
        </is>
      </c>
      <c r="D517" s="3" t="inlineStr">
        <is>
          <t>Tập hai · Chủ đề 5</t>
        </is>
      </c>
      <c r="E517" s="3" t="inlineStr">
        <is>
          <t>Học kì 2 · Chủ đề 5–8 và ôn tập cuối năm</t>
        </is>
      </c>
      <c r="F517" s="3" t="inlineStr">
        <is>
          <t>Chủ đề 5. Bài học từ cuộc sống</t>
        </is>
      </c>
      <c r="G517" s="3" t="inlineStr">
        <is>
          <t>Chọn đáp án</t>
        </is>
      </c>
      <c r="H517" s="14" t="n">
        <v>2</v>
      </c>
      <c r="I517" s="3" t="inlineStr">
        <is>
          <t>Cơ bản</t>
        </is>
      </c>
      <c r="J517" s="3" t="inlineStr">
        <is>
          <t>Chọn từ ngữ điền vào chỗ trống: "Chú bé chăn cừu hay nói …"</t>
        </is>
      </c>
      <c r="K517" s="3" t="inlineStr">
        <is>
          <t>A. dối | B. hay | C. to</t>
        </is>
      </c>
      <c r="L517" s="3" t="inlineStr">
        <is>
          <t>A</t>
        </is>
      </c>
      <c r="M517" s="3" t="inlineStr">
        <is>
          <t>Chú bé hay nói dối.</t>
        </is>
      </c>
      <c r="N517" s="3" t="n"/>
      <c r="O517" s="14" t="n">
        <v>40</v>
      </c>
      <c r="P517" s="14">
        <f>INDEX(Khung_cap_do!$H$2:$H$6,H517)</f>
        <v/>
      </c>
      <c r="Q517" s="3" t="inlineStr">
        <is>
          <t>V1.VIET.04</t>
        </is>
      </c>
      <c r="R517" s="3" t="inlineStr">
        <is>
          <t>TV.TUNGU</t>
        </is>
      </c>
    </row>
    <row r="518">
      <c r="A518" s="3" t="inlineStr">
        <is>
          <t>tv1-kntt-c05-q4</t>
        </is>
      </c>
      <c r="B518" s="3" t="inlineStr">
        <is>
          <t>Tiếng Việt</t>
        </is>
      </c>
      <c r="C518" s="3" t="inlineStr">
        <is>
          <t>Kết nối tri thức</t>
        </is>
      </c>
      <c r="D518" s="3" t="inlineStr">
        <is>
          <t>Tập hai · Chủ đề 5</t>
        </is>
      </c>
      <c r="E518" s="3" t="inlineStr">
        <is>
          <t>Học kì 2 · Chủ đề 5–8 và ôn tập cuối năm</t>
        </is>
      </c>
      <c r="F518" s="3" t="inlineStr">
        <is>
          <t>Chủ đề 5. Bài học từ cuộc sống</t>
        </is>
      </c>
      <c r="G518" s="3" t="inlineStr">
        <is>
          <t>Chọn đáp án</t>
        </is>
      </c>
      <c r="H518" s="14" t="n">
        <v>2</v>
      </c>
      <c r="I518" s="3" t="inlineStr">
        <is>
          <t>Cơ bản</t>
        </is>
      </c>
      <c r="J518" s="3" t="inlineStr">
        <is>
          <t>Điền s hay x: "…ói đến!"</t>
        </is>
      </c>
      <c r="K518" s="3" t="inlineStr">
        <is>
          <t>A. s | B. x</t>
        </is>
      </c>
      <c r="L518" s="3" t="inlineStr">
        <is>
          <t>A</t>
        </is>
      </c>
      <c r="M518" s="3" t="inlineStr">
        <is>
          <t>Viết là "sói".</t>
        </is>
      </c>
      <c r="N518" s="3" t="n"/>
      <c r="O518" s="14" t="n">
        <v>40</v>
      </c>
      <c r="P518" s="14">
        <f>INDEX(Khung_cap_do!$H$2:$H$6,H518)</f>
        <v/>
      </c>
      <c r="Q518" s="3" t="inlineStr">
        <is>
          <t>V1.AM.04</t>
        </is>
      </c>
      <c r="R518" s="3" t="inlineStr">
        <is>
          <t>TV.CHINHTA</t>
        </is>
      </c>
    </row>
    <row r="519">
      <c r="A519" s="3" t="inlineStr">
        <is>
          <t>tv1-kntt-c05-q5</t>
        </is>
      </c>
      <c r="B519" s="3" t="inlineStr">
        <is>
          <t>Tiếng Việt</t>
        </is>
      </c>
      <c r="C519" s="3" t="inlineStr">
        <is>
          <t>Kết nối tri thức</t>
        </is>
      </c>
      <c r="D519" s="3" t="inlineStr">
        <is>
          <t>Tập hai · Chủ đề 5</t>
        </is>
      </c>
      <c r="E519" s="3" t="inlineStr">
        <is>
          <t>Học kì 2 · Chủ đề 5–8 và ôn tập cuối năm</t>
        </is>
      </c>
      <c r="F519" s="3" t="inlineStr">
        <is>
          <t>Chủ đề 5. Bài học từ cuộc sống</t>
        </is>
      </c>
      <c r="G519" s="3" t="inlineStr">
        <is>
          <t>Đúng / Sai</t>
        </is>
      </c>
      <c r="H519" s="14" t="n">
        <v>3</v>
      </c>
      <c r="I519" s="3" t="inlineStr">
        <is>
          <t>Vận dụng</t>
        </is>
      </c>
      <c r="J519" s="3" t="inlineStr">
        <is>
          <t>Nói dối nhiều lần thì mọi người sẽ không tin mình nữa. Đúng hay sai?</t>
        </is>
      </c>
      <c r="K519" s="3" t="inlineStr">
        <is>
          <t>A. Đúng | B. Sai</t>
        </is>
      </c>
      <c r="L519" s="3" t="inlineStr">
        <is>
          <t>A</t>
        </is>
      </c>
      <c r="M519" s="3" t="inlineStr">
        <is>
          <t>Đây là bài học từ câu chuyện chú bé chăn cừu.</t>
        </is>
      </c>
      <c r="N519" s="3" t="inlineStr">
        <is>
          <t>Khi nói dối nhiều lần, đến lúc nói thật mọi người cũng không tin. Câu đúng.</t>
        </is>
      </c>
      <c r="O519" s="14" t="n">
        <v>60</v>
      </c>
      <c r="P519" s="14">
        <f>INDEX(Khung_cap_do!$H$2:$H$6,H519)</f>
        <v/>
      </c>
      <c r="Q519" s="3" t="inlineStr">
        <is>
          <t>V1.DOC.04</t>
        </is>
      </c>
      <c r="R519" s="3" t="inlineStr">
        <is>
          <t>TV.DOCHIEU</t>
        </is>
      </c>
    </row>
    <row r="520">
      <c r="A520" s="3" t="inlineStr">
        <is>
          <t>tv1-kntt-c05-q6</t>
        </is>
      </c>
      <c r="B520" s="3" t="inlineStr">
        <is>
          <t>Tiếng Việt</t>
        </is>
      </c>
      <c r="C520" s="3" t="inlineStr">
        <is>
          <t>Kết nối tri thức</t>
        </is>
      </c>
      <c r="D520" s="3" t="inlineStr">
        <is>
          <t>Tập hai · Chủ đề 5</t>
        </is>
      </c>
      <c r="E520" s="3" t="inlineStr">
        <is>
          <t>Học kì 2 · Chủ đề 5–8 và ôn tập cuối năm</t>
        </is>
      </c>
      <c r="F520" s="3" t="inlineStr">
        <is>
          <t>Chủ đề 5. Bài học từ cuộc sống</t>
        </is>
      </c>
      <c r="G520" s="3" t="inlineStr">
        <is>
          <t>Chọn nhiều đáp án</t>
        </is>
      </c>
      <c r="H520" s="14" t="n">
        <v>3</v>
      </c>
      <c r="I520" s="3" t="inlineStr">
        <is>
          <t>Vận dụng</t>
        </is>
      </c>
      <c r="J520" s="3" t="inlineStr">
        <is>
          <t>Chọn tất cả các việc làm tốt.</t>
        </is>
      </c>
      <c r="K520" s="3" t="inlineStr">
        <is>
          <t>A. nói thật | B. giúp bạn | C. nói dối | D. chăm học</t>
        </is>
      </c>
      <c r="L520" s="3" t="inlineStr">
        <is>
          <t>A, B, D</t>
        </is>
      </c>
      <c r="M520" s="3" t="inlineStr">
        <is>
          <t>Nói dối không phải việc tốt.</t>
        </is>
      </c>
      <c r="N520" s="3" t="inlineStr">
        <is>
          <t>Việc tốt: nói thật, giúp bạn, chăm học. Nói dối là việc không nên làm.</t>
        </is>
      </c>
      <c r="O520" s="14" t="n">
        <v>60</v>
      </c>
      <c r="P520" s="14">
        <f>INDEX(Khung_cap_do!$H$2:$H$6,H520)</f>
        <v/>
      </c>
      <c r="Q520" s="3" t="inlineStr">
        <is>
          <t>V1.VIET.04</t>
        </is>
      </c>
      <c r="R520" s="3" t="inlineStr">
        <is>
          <t>TV.TUNGU</t>
        </is>
      </c>
    </row>
    <row r="521">
      <c r="A521" s="3" t="inlineStr">
        <is>
          <t>tv1-kntt-c05-q7</t>
        </is>
      </c>
      <c r="B521" s="3" t="inlineStr">
        <is>
          <t>Tiếng Việt</t>
        </is>
      </c>
      <c r="C521" s="3" t="inlineStr">
        <is>
          <t>Kết nối tri thức</t>
        </is>
      </c>
      <c r="D521" s="3" t="inlineStr">
        <is>
          <t>Tập hai · Chủ đề 5</t>
        </is>
      </c>
      <c r="E521" s="3" t="inlineStr">
        <is>
          <t>Học kì 2 · Chủ đề 5–8 và ôn tập cuối năm</t>
        </is>
      </c>
      <c r="F521" s="3" t="inlineStr">
        <is>
          <t>Chủ đề 5. Bài học từ cuộc sống</t>
        </is>
      </c>
      <c r="G521" s="3" t="inlineStr">
        <is>
          <t>Sắp xếp</t>
        </is>
      </c>
      <c r="H521" s="14" t="n">
        <v>4</v>
      </c>
      <c r="I521" s="3" t="inlineStr">
        <is>
          <t>Thử thách</t>
        </is>
      </c>
      <c r="J521" s="3" t="inlineStr">
        <is>
          <t>Sắp xếp các từ ngữ thành câu đúng.</t>
        </is>
      </c>
      <c r="K521" s="3" t="inlineStr">
        <is>
          <t>Em / luôn / lời / nói / thật</t>
        </is>
      </c>
      <c r="L521" s="3" t="inlineStr">
        <is>
          <t>Em → luôn → nói → lời → thật</t>
        </is>
      </c>
      <c r="M521" s="3" t="inlineStr">
        <is>
          <t>Em luôn nói lời thật.</t>
        </is>
      </c>
      <c r="N521" s="3" t="inlineStr">
        <is>
          <t>Từ viết hoa "Em" đứng đầu câu: Em luôn nói lời thật.</t>
        </is>
      </c>
      <c r="O521" s="14" t="n">
        <v>75</v>
      </c>
      <c r="P521" s="14">
        <f>INDEX(Khung_cap_do!$H$2:$H$6,H521)</f>
        <v/>
      </c>
      <c r="Q521" s="3" t="inlineStr">
        <is>
          <t>V1.DOC.02</t>
        </is>
      </c>
      <c r="R521" s="3" t="inlineStr">
        <is>
          <t>TV.XEPCAU</t>
        </is>
      </c>
    </row>
    <row r="522">
      <c r="A522" s="3" t="inlineStr">
        <is>
          <t>tv1-kntt-c05-q8</t>
        </is>
      </c>
      <c r="B522" s="3" t="inlineStr">
        <is>
          <t>Tiếng Việt</t>
        </is>
      </c>
      <c r="C522" s="3" t="inlineStr">
        <is>
          <t>Kết nối tri thức</t>
        </is>
      </c>
      <c r="D522" s="3" t="inlineStr">
        <is>
          <t>Tập hai · Chủ đề 5</t>
        </is>
      </c>
      <c r="E522" s="3" t="inlineStr">
        <is>
          <t>Học kì 2 · Chủ đề 5–8 và ôn tập cuối năm</t>
        </is>
      </c>
      <c r="F522" s="3" t="inlineStr">
        <is>
          <t>Chủ đề 5. Bài học từ cuộc sống</t>
        </is>
      </c>
      <c r="G522" s="3" t="inlineStr">
        <is>
          <t>Ghép cặp</t>
        </is>
      </c>
      <c r="H522" s="14" t="n">
        <v>5</v>
      </c>
      <c r="I522" s="3" t="inlineStr">
        <is>
          <t>Mở rộng</t>
        </is>
      </c>
      <c r="J522" s="3" t="inlineStr">
        <is>
          <t>Ghép con vật với điều nó dạy em.</t>
        </is>
      </c>
      <c r="K522" s="3" t="inlineStr">
        <is>
          <t>Con kiến ↔ ? / Chú bé chăn cừu ↔ ? / Rễ cây ↔ ?</t>
        </is>
      </c>
      <c r="L522" s="3" t="inlineStr">
        <is>
          <t>Con kiến – chăm chỉ làm việc; Chú bé chăn cừu – không được nói dối; Rễ cây – âm thầm giúp cây đứng vững</t>
        </is>
      </c>
      <c r="M522" s="3" t="inlineStr">
        <is>
          <t>Kiến: chăm chỉ; chú bé: không nói dối; rễ: âm thầm giúp đỡ.</t>
        </is>
      </c>
      <c r="N522" s="3" t="inlineStr">
        <is>
          <t>Nhớ lại các câu chuyện: kiến chăm chỉ, chú bé chăn cừu nói dối nên không ai tin, rễ cây âm thầm giữ cho cây đứng vững.</t>
        </is>
      </c>
      <c r="O522" s="14" t="n">
        <v>90</v>
      </c>
      <c r="P522" s="14">
        <f>INDEX(Khung_cap_do!$H$2:$H$6,H522)</f>
        <v/>
      </c>
      <c r="Q522" s="3" t="inlineStr">
        <is>
          <t>V1.DOC.04</t>
        </is>
      </c>
      <c r="R522" s="3" t="inlineStr">
        <is>
          <t>TV.NOITU</t>
        </is>
      </c>
    </row>
    <row r="523">
      <c r="A523" s="3" t="inlineStr">
        <is>
          <t>tv1-kntt-c06-q1</t>
        </is>
      </c>
      <c r="B523" s="3" t="inlineStr">
        <is>
          <t>Tiếng Việt</t>
        </is>
      </c>
      <c r="C523" s="3" t="inlineStr">
        <is>
          <t>Kết nối tri thức</t>
        </is>
      </c>
      <c r="D523" s="3" t="inlineStr">
        <is>
          <t>Tập hai · Chủ đề 6</t>
        </is>
      </c>
      <c r="E523" s="3" t="inlineStr">
        <is>
          <t>Học kì 2 · Chủ đề 5–8 và ôn tập cuối năm</t>
        </is>
      </c>
      <c r="F523" s="3" t="inlineStr">
        <is>
          <t>Chủ đề 6. Thiên nhiên kì thú</t>
        </is>
      </c>
      <c r="G523" s="3" t="inlineStr">
        <is>
          <t>Chọn đáp án</t>
        </is>
      </c>
      <c r="H523" s="14" t="n">
        <v>1</v>
      </c>
      <c r="I523" s="3" t="inlineStr">
        <is>
          <t>Làm quen</t>
        </is>
      </c>
      <c r="J523" s="3" t="inlineStr">
        <is>
          <t>Cầu vồng có mấy màu?</t>
        </is>
      </c>
      <c r="K523" s="3" t="inlineStr">
        <is>
          <t>A. Năm màu | B. Bảy màu | C. Ba màu</t>
        </is>
      </c>
      <c r="L523" s="3" t="inlineStr">
        <is>
          <t>B</t>
        </is>
      </c>
      <c r="M523" s="3" t="inlineStr">
        <is>
          <t>Cầu vồng có bảy màu.</t>
        </is>
      </c>
      <c r="N523" s="3" t="n"/>
      <c r="O523" s="14" t="n">
        <v>30</v>
      </c>
      <c r="P523" s="14">
        <f>INDEX(Khung_cap_do!$H$2:$H$6,H523)</f>
        <v/>
      </c>
      <c r="Q523" s="3" t="inlineStr">
        <is>
          <t>V1.DOC.04</t>
        </is>
      </c>
      <c r="R523" s="3" t="inlineStr">
        <is>
          <t>TV.DOCHIEU</t>
        </is>
      </c>
    </row>
    <row r="524">
      <c r="A524" s="3" t="inlineStr">
        <is>
          <t>tv1-kntt-c06-q2</t>
        </is>
      </c>
      <c r="B524" s="3" t="inlineStr">
        <is>
          <t>Tiếng Việt</t>
        </is>
      </c>
      <c r="C524" s="3" t="inlineStr">
        <is>
          <t>Kết nối tri thức</t>
        </is>
      </c>
      <c r="D524" s="3" t="inlineStr">
        <is>
          <t>Tập hai · Chủ đề 6</t>
        </is>
      </c>
      <c r="E524" s="3" t="inlineStr">
        <is>
          <t>Học kì 2 · Chủ đề 5–8 và ôn tập cuối năm</t>
        </is>
      </c>
      <c r="F524" s="3" t="inlineStr">
        <is>
          <t>Chủ đề 6. Thiên nhiên kì thú</t>
        </is>
      </c>
      <c r="G524" s="3" t="inlineStr">
        <is>
          <t>Chọn đáp án</t>
        </is>
      </c>
      <c r="H524" s="14" t="n">
        <v>1</v>
      </c>
      <c r="I524" s="3" t="inlineStr">
        <is>
          <t>Làm quen</t>
        </is>
      </c>
      <c r="J524" s="3" t="inlineStr">
        <is>
          <t>Con vật nào được gọi là chúa tể rừng xanh?</t>
        </is>
      </c>
      <c r="K524" s="3" t="inlineStr">
        <is>
          <t>A. Sư tử | B. Con thỏ | C. Con gà</t>
        </is>
      </c>
      <c r="L524" s="3" t="inlineStr">
        <is>
          <t>A</t>
        </is>
      </c>
      <c r="M524" s="3" t="inlineStr">
        <is>
          <t>Sư tử được gọi là chúa tể rừng xanh.</t>
        </is>
      </c>
      <c r="N524" s="3" t="n"/>
      <c r="O524" s="14" t="n">
        <v>30</v>
      </c>
      <c r="P524" s="14">
        <f>INDEX(Khung_cap_do!$H$2:$H$6,H524)</f>
        <v/>
      </c>
      <c r="Q524" s="3" t="inlineStr">
        <is>
          <t>V1.DOC.04</t>
        </is>
      </c>
      <c r="R524" s="3" t="inlineStr">
        <is>
          <t>TV.DOCHIEU</t>
        </is>
      </c>
    </row>
    <row r="525">
      <c r="A525" s="3" t="inlineStr">
        <is>
          <t>tv1-kntt-c06-q3</t>
        </is>
      </c>
      <c r="B525" s="3" t="inlineStr">
        <is>
          <t>Tiếng Việt</t>
        </is>
      </c>
      <c r="C525" s="3" t="inlineStr">
        <is>
          <t>Kết nối tri thức</t>
        </is>
      </c>
      <c r="D525" s="3" t="inlineStr">
        <is>
          <t>Tập hai · Chủ đề 6</t>
        </is>
      </c>
      <c r="E525" s="3" t="inlineStr">
        <is>
          <t>Học kì 2 · Chủ đề 5–8 và ôn tập cuối năm</t>
        </is>
      </c>
      <c r="F525" s="3" t="inlineStr">
        <is>
          <t>Chủ đề 6. Thiên nhiên kì thú</t>
        </is>
      </c>
      <c r="G525" s="3" t="inlineStr">
        <is>
          <t>Chọn đáp án</t>
        </is>
      </c>
      <c r="H525" s="14" t="n">
        <v>2</v>
      </c>
      <c r="I525" s="3" t="inlineStr">
        <is>
          <t>Cơ bản</t>
        </is>
      </c>
      <c r="J525" s="3" t="inlineStr">
        <is>
          <t>Chọn từ ngữ điền vào chỗ trống: "Cành liễu rất …"</t>
        </is>
      </c>
      <c r="K525" s="3" t="inlineStr">
        <is>
          <t>A. dẻo | B. cứng | C. nặng</t>
        </is>
      </c>
      <c r="L525" s="3" t="inlineStr">
        <is>
          <t>A</t>
        </is>
      </c>
      <c r="M525" s="3" t="inlineStr">
        <is>
          <t>Cành liễu rất dẻo.</t>
        </is>
      </c>
      <c r="N525" s="3" t="n"/>
      <c r="O525" s="14" t="n">
        <v>40</v>
      </c>
      <c r="P525" s="14">
        <f>INDEX(Khung_cap_do!$H$2:$H$6,H525)</f>
        <v/>
      </c>
      <c r="Q525" s="3" t="inlineStr">
        <is>
          <t>V1.VIET.04</t>
        </is>
      </c>
      <c r="R525" s="3" t="inlineStr">
        <is>
          <t>TV.TUNGU</t>
        </is>
      </c>
    </row>
    <row r="526">
      <c r="A526" s="3" t="inlineStr">
        <is>
          <t>tv1-kntt-c06-q4</t>
        </is>
      </c>
      <c r="B526" s="3" t="inlineStr">
        <is>
          <t>Tiếng Việt</t>
        </is>
      </c>
      <c r="C526" s="3" t="inlineStr">
        <is>
          <t>Kết nối tri thức</t>
        </is>
      </c>
      <c r="D526" s="3" t="inlineStr">
        <is>
          <t>Tập hai · Chủ đề 6</t>
        </is>
      </c>
      <c r="E526" s="3" t="inlineStr">
        <is>
          <t>Học kì 2 · Chủ đề 5–8 và ôn tập cuối năm</t>
        </is>
      </c>
      <c r="F526" s="3" t="inlineStr">
        <is>
          <t>Chủ đề 6. Thiên nhiên kì thú</t>
        </is>
      </c>
      <c r="G526" s="3" t="inlineStr">
        <is>
          <t>Chọn đáp án</t>
        </is>
      </c>
      <c r="H526" s="14" t="n">
        <v>2</v>
      </c>
      <c r="I526" s="3" t="inlineStr">
        <is>
          <t>Cơ bản</t>
        </is>
      </c>
      <c r="J526" s="3" t="inlineStr">
        <is>
          <t>Từ nào chỉ màu sắc?</t>
        </is>
      </c>
      <c r="K526" s="3" t="inlineStr">
        <is>
          <t>A. tím | B. bay | C. chim</t>
        </is>
      </c>
      <c r="L526" s="3" t="inlineStr">
        <is>
          <t>A</t>
        </is>
      </c>
      <c r="M526" s="3" t="inlineStr">
        <is>
          <t>Tím là màu sắc.</t>
        </is>
      </c>
      <c r="N526" s="3" t="n"/>
      <c r="O526" s="14" t="n">
        <v>40</v>
      </c>
      <c r="P526" s="14">
        <f>INDEX(Khung_cap_do!$H$2:$H$6,H526)</f>
        <v/>
      </c>
      <c r="Q526" s="3" t="inlineStr">
        <is>
          <t>V1.VIET.04</t>
        </is>
      </c>
      <c r="R526" s="3" t="inlineStr">
        <is>
          <t>TV.TUNGU</t>
        </is>
      </c>
    </row>
    <row r="527">
      <c r="A527" s="3" t="inlineStr">
        <is>
          <t>tv1-kntt-c06-q5</t>
        </is>
      </c>
      <c r="B527" s="3" t="inlineStr">
        <is>
          <t>Tiếng Việt</t>
        </is>
      </c>
      <c r="C527" s="3" t="inlineStr">
        <is>
          <t>Kết nối tri thức</t>
        </is>
      </c>
      <c r="D527" s="3" t="inlineStr">
        <is>
          <t>Tập hai · Chủ đề 6</t>
        </is>
      </c>
      <c r="E527" s="3" t="inlineStr">
        <is>
          <t>Học kì 2 · Chủ đề 5–8 và ôn tập cuối năm</t>
        </is>
      </c>
      <c r="F527" s="3" t="inlineStr">
        <is>
          <t>Chủ đề 6. Thiên nhiên kì thú</t>
        </is>
      </c>
      <c r="G527" s="3" t="inlineStr">
        <is>
          <t>Chọn nhiều đáp án</t>
        </is>
      </c>
      <c r="H527" s="14" t="n">
        <v>3</v>
      </c>
      <c r="I527" s="3" t="inlineStr">
        <is>
          <t>Vận dụng</t>
        </is>
      </c>
      <c r="J527" s="3" t="inlineStr">
        <is>
          <t>Chọn tất cả các con vật sống ở rừng.</t>
        </is>
      </c>
      <c r="K527" s="3" t="inlineStr">
        <is>
          <t>A. sư tử | B. voi | C. hổ | D. cá vàng</t>
        </is>
      </c>
      <c r="L527" s="3" t="inlineStr">
        <is>
          <t>A, B, C</t>
        </is>
      </c>
      <c r="M527" s="3" t="inlineStr">
        <is>
          <t>Cá vàng sống trong bể nước.</t>
        </is>
      </c>
      <c r="N527" s="3" t="inlineStr">
        <is>
          <t>Sư tử, voi, hổ sống trong rừng. Cá vàng sống ở bể cá hoặc ao, không sống trong rừng.</t>
        </is>
      </c>
      <c r="O527" s="14" t="n">
        <v>60</v>
      </c>
      <c r="P527" s="14">
        <f>INDEX(Khung_cap_do!$H$2:$H$6,H527)</f>
        <v/>
      </c>
      <c r="Q527" s="3" t="inlineStr">
        <is>
          <t>V1.VIET.04</t>
        </is>
      </c>
      <c r="R527" s="3" t="inlineStr">
        <is>
          <t>TV.TUNGU</t>
        </is>
      </c>
    </row>
    <row r="528">
      <c r="A528" s="3" t="inlineStr">
        <is>
          <t>tv1-kntt-c06-q6</t>
        </is>
      </c>
      <c r="B528" s="3" t="inlineStr">
        <is>
          <t>Tiếng Việt</t>
        </is>
      </c>
      <c r="C528" s="3" t="inlineStr">
        <is>
          <t>Kết nối tri thức</t>
        </is>
      </c>
      <c r="D528" s="3" t="inlineStr">
        <is>
          <t>Tập hai · Chủ đề 6</t>
        </is>
      </c>
      <c r="E528" s="3" t="inlineStr">
        <is>
          <t>Học kì 2 · Chủ đề 5–8 và ôn tập cuối năm</t>
        </is>
      </c>
      <c r="F528" s="3" t="inlineStr">
        <is>
          <t>Chủ đề 6. Thiên nhiên kì thú</t>
        </is>
      </c>
      <c r="G528" s="3" t="inlineStr">
        <is>
          <t>Đúng / Sai</t>
        </is>
      </c>
      <c r="H528" s="14" t="n">
        <v>3</v>
      </c>
      <c r="I528" s="3" t="inlineStr">
        <is>
          <t>Vận dụng</t>
        </is>
      </c>
      <c r="J528" s="3" t="inlineStr">
        <is>
          <t>Hải âu là loài chim sống ở biển. Đúng hay sai?</t>
        </is>
      </c>
      <c r="K528" s="3" t="inlineStr">
        <is>
          <t>A. Đúng | B. Sai</t>
        </is>
      </c>
      <c r="L528" s="3" t="inlineStr">
        <is>
          <t>A</t>
        </is>
      </c>
      <c r="M528" s="3" t="inlineStr">
        <is>
          <t>Hải âu là chim biển.</t>
        </is>
      </c>
      <c r="N528" s="3" t="inlineStr">
        <is>
          <t>Hải âu bay trên biển, kiếm ăn trên biển nên gọi là chim của biển cả. Câu đúng.</t>
        </is>
      </c>
      <c r="O528" s="14" t="n">
        <v>50</v>
      </c>
      <c r="P528" s="14">
        <f>INDEX(Khung_cap_do!$H$2:$H$6,H528)</f>
        <v/>
      </c>
      <c r="Q528" s="3" t="inlineStr">
        <is>
          <t>V1.DOC.04</t>
        </is>
      </c>
      <c r="R528" s="3" t="inlineStr">
        <is>
          <t>TV.DOCHIEU</t>
        </is>
      </c>
    </row>
    <row r="529">
      <c r="A529" s="3" t="inlineStr">
        <is>
          <t>tv1-kntt-c06-q7</t>
        </is>
      </c>
      <c r="B529" s="3" t="inlineStr">
        <is>
          <t>Tiếng Việt</t>
        </is>
      </c>
      <c r="C529" s="3" t="inlineStr">
        <is>
          <t>Kết nối tri thức</t>
        </is>
      </c>
      <c r="D529" s="3" t="inlineStr">
        <is>
          <t>Tập hai · Chủ đề 6</t>
        </is>
      </c>
      <c r="E529" s="3" t="inlineStr">
        <is>
          <t>Học kì 2 · Chủ đề 5–8 và ôn tập cuối năm</t>
        </is>
      </c>
      <c r="F529" s="3" t="inlineStr">
        <is>
          <t>Chủ đề 6. Thiên nhiên kì thú</t>
        </is>
      </c>
      <c r="G529" s="3" t="inlineStr">
        <is>
          <t>Sắp xếp</t>
        </is>
      </c>
      <c r="H529" s="14" t="n">
        <v>4</v>
      </c>
      <c r="I529" s="3" t="inlineStr">
        <is>
          <t>Thử thách</t>
        </is>
      </c>
      <c r="J529" s="3" t="inlineStr">
        <is>
          <t>Sắp xếp các từ ngữ thành câu đúng.</t>
        </is>
      </c>
      <c r="K529" s="3" t="inlineStr">
        <is>
          <t>Sau / cơn mưa / cầu vồng / hiện ra</t>
        </is>
      </c>
      <c r="L529" s="3" t="inlineStr">
        <is>
          <t>Sau → cơn mưa → cầu vồng → hiện ra</t>
        </is>
      </c>
      <c r="M529" s="3" t="inlineStr">
        <is>
          <t>Sau cơn mưa cầu vồng hiện ra.</t>
        </is>
      </c>
      <c r="N529" s="3" t="inlineStr">
        <is>
          <t>Từ viết hoa "Sau" đứng đầu: Sau cơn mưa cầu vồng hiện ra.</t>
        </is>
      </c>
      <c r="O529" s="14" t="n">
        <v>75</v>
      </c>
      <c r="P529" s="14">
        <f>INDEX(Khung_cap_do!$H$2:$H$6,H529)</f>
        <v/>
      </c>
      <c r="Q529" s="3" t="inlineStr">
        <is>
          <t>V1.DOC.02</t>
        </is>
      </c>
      <c r="R529" s="3" t="inlineStr">
        <is>
          <t>TV.XEPCAU</t>
        </is>
      </c>
    </row>
    <row r="530">
      <c r="A530" s="3" t="inlineStr">
        <is>
          <t>tv1-kntt-c06-q8</t>
        </is>
      </c>
      <c r="B530" s="3" t="inlineStr">
        <is>
          <t>Tiếng Việt</t>
        </is>
      </c>
      <c r="C530" s="3" t="inlineStr">
        <is>
          <t>Kết nối tri thức</t>
        </is>
      </c>
      <c r="D530" s="3" t="inlineStr">
        <is>
          <t>Tập hai · Chủ đề 6</t>
        </is>
      </c>
      <c r="E530" s="3" t="inlineStr">
        <is>
          <t>Học kì 2 · Chủ đề 5–8 và ôn tập cuối năm</t>
        </is>
      </c>
      <c r="F530" s="3" t="inlineStr">
        <is>
          <t>Chủ đề 6. Thiên nhiên kì thú</t>
        </is>
      </c>
      <c r="G530" s="3" t="inlineStr">
        <is>
          <t>Ghép cặp</t>
        </is>
      </c>
      <c r="H530" s="14" t="n">
        <v>5</v>
      </c>
      <c r="I530" s="3" t="inlineStr">
        <is>
          <t>Mở rộng</t>
        </is>
      </c>
      <c r="J530" s="3" t="inlineStr">
        <is>
          <t>Ghép con vật với tài năng của nó.</t>
        </is>
      </c>
      <c r="K530" s="3" t="inlineStr">
        <is>
          <t>Chim sơn ca ↔ ? / Con thỏ ↔ ? / Con khỉ ↔ ?</t>
        </is>
      </c>
      <c r="L530" s="3" t="inlineStr">
        <is>
          <t>Chim sơn ca – hót hay; Con thỏ – chạy nhanh; Con khỉ – leo trèo giỏi</t>
        </is>
      </c>
      <c r="M530" s="3" t="inlineStr">
        <is>
          <t>Sơn ca hót hay, thỏ chạy nhanh, khỉ leo trèo giỏi.</t>
        </is>
      </c>
      <c r="N530" s="3" t="inlineStr">
        <is>
          <t>Nghĩ về từng con vật: sơn ca có tiếng hót hay, thỏ chạy rất nhanh, khỉ leo trèo giỏi.</t>
        </is>
      </c>
      <c r="O530" s="14" t="n">
        <v>90</v>
      </c>
      <c r="P530" s="14">
        <f>INDEX(Khung_cap_do!$H$2:$H$6,H530)</f>
        <v/>
      </c>
      <c r="Q530" s="3" t="inlineStr">
        <is>
          <t>V1.DOC.05</t>
        </is>
      </c>
      <c r="R530" s="3" t="inlineStr">
        <is>
          <t>TV.NOITU</t>
        </is>
      </c>
    </row>
    <row r="531">
      <c r="A531" s="3" t="inlineStr">
        <is>
          <t>tv1-kntt-c07-q1</t>
        </is>
      </c>
      <c r="B531" s="3" t="inlineStr">
        <is>
          <t>Tiếng Việt</t>
        </is>
      </c>
      <c r="C531" s="3" t="inlineStr">
        <is>
          <t>Kết nối tri thức</t>
        </is>
      </c>
      <c r="D531" s="3" t="inlineStr">
        <is>
          <t>Tập hai · Chủ đề 7</t>
        </is>
      </c>
      <c r="E531" s="3" t="inlineStr">
        <is>
          <t>Học kì 2 · Chủ đề 5–8 và ôn tập cuối năm</t>
        </is>
      </c>
      <c r="F531" s="3" t="inlineStr">
        <is>
          <t>Chủ đề 7. Thế giới trong mắt em</t>
        </is>
      </c>
      <c r="G531" s="3" t="inlineStr">
        <is>
          <t>Chọn đáp án</t>
        </is>
      </c>
      <c r="H531" s="14" t="n">
        <v>1</v>
      </c>
      <c r="I531" s="3" t="inlineStr">
        <is>
          <t>Làm quen</t>
        </is>
      </c>
      <c r="J531" s="3" t="inlineStr">
        <is>
          <t>Buổi sáng, ai chiếu nắng vàng khắp nơi?</t>
        </is>
      </c>
      <c r="K531" s="3" t="inlineStr">
        <is>
          <t>A. Ông mặt trời | B. Chị mây | C. Bác gió</t>
        </is>
      </c>
      <c r="L531" s="3" t="inlineStr">
        <is>
          <t>A</t>
        </is>
      </c>
      <c r="M531" s="3" t="inlineStr">
        <is>
          <t>Mặt trời chiếu nắng.</t>
        </is>
      </c>
      <c r="N531" s="3" t="n"/>
      <c r="O531" s="14" t="n">
        <v>30</v>
      </c>
      <c r="P531" s="14">
        <f>INDEX(Khung_cap_do!$H$2:$H$6,H531)</f>
        <v/>
      </c>
      <c r="Q531" s="3" t="inlineStr">
        <is>
          <t>V1.DOC.04</t>
        </is>
      </c>
      <c r="R531" s="3" t="inlineStr">
        <is>
          <t>TV.DOCHIEU</t>
        </is>
      </c>
    </row>
    <row r="532">
      <c r="A532" s="3" t="inlineStr">
        <is>
          <t>tv1-kntt-c07-q2</t>
        </is>
      </c>
      <c r="B532" s="3" t="inlineStr">
        <is>
          <t>Tiếng Việt</t>
        </is>
      </c>
      <c r="C532" s="3" t="inlineStr">
        <is>
          <t>Kết nối tri thức</t>
        </is>
      </c>
      <c r="D532" s="3" t="inlineStr">
        <is>
          <t>Tập hai · Chủ đề 7</t>
        </is>
      </c>
      <c r="E532" s="3" t="inlineStr">
        <is>
          <t>Học kì 2 · Chủ đề 5–8 và ôn tập cuối năm</t>
        </is>
      </c>
      <c r="F532" s="3" t="inlineStr">
        <is>
          <t>Chủ đề 7. Thế giới trong mắt em</t>
        </is>
      </c>
      <c r="G532" s="3" t="inlineStr">
        <is>
          <t>Chọn đáp án</t>
        </is>
      </c>
      <c r="H532" s="14" t="n">
        <v>1</v>
      </c>
      <c r="I532" s="3" t="inlineStr">
        <is>
          <t>Làm quen</t>
        </is>
      </c>
      <c r="J532" s="3" t="inlineStr">
        <is>
          <t>Hoa phượng thường nở vào mùa nào?</t>
        </is>
      </c>
      <c r="K532" s="3" t="inlineStr">
        <is>
          <t>A. Mùa hè | B. Mùa đông</t>
        </is>
      </c>
      <c r="L532" s="3" t="inlineStr">
        <is>
          <t>A</t>
        </is>
      </c>
      <c r="M532" s="3" t="inlineStr">
        <is>
          <t>Hoa phượng nở vào mùa hè.</t>
        </is>
      </c>
      <c r="N532" s="3" t="n"/>
      <c r="O532" s="14" t="n">
        <v>30</v>
      </c>
      <c r="P532" s="14">
        <f>INDEX(Khung_cap_do!$H$2:$H$6,H532)</f>
        <v/>
      </c>
      <c r="Q532" s="3" t="inlineStr">
        <is>
          <t>V1.DOC.04</t>
        </is>
      </c>
      <c r="R532" s="3" t="inlineStr">
        <is>
          <t>TV.DOCHIEU</t>
        </is>
      </c>
    </row>
    <row r="533">
      <c r="A533" s="3" t="inlineStr">
        <is>
          <t>tv1-kntt-c07-q3</t>
        </is>
      </c>
      <c r="B533" s="3" t="inlineStr">
        <is>
          <t>Tiếng Việt</t>
        </is>
      </c>
      <c r="C533" s="3" t="inlineStr">
        <is>
          <t>Kết nối tri thức</t>
        </is>
      </c>
      <c r="D533" s="3" t="inlineStr">
        <is>
          <t>Tập hai · Chủ đề 7</t>
        </is>
      </c>
      <c r="E533" s="3" t="inlineStr">
        <is>
          <t>Học kì 2 · Chủ đề 5–8 và ôn tập cuối năm</t>
        </is>
      </c>
      <c r="F533" s="3" t="inlineStr">
        <is>
          <t>Chủ đề 7. Thế giới trong mắt em</t>
        </is>
      </c>
      <c r="G533" s="3" t="inlineStr">
        <is>
          <t>Chọn đáp án</t>
        </is>
      </c>
      <c r="H533" s="14" t="n">
        <v>2</v>
      </c>
      <c r="I533" s="3" t="inlineStr">
        <is>
          <t>Cơ bản</t>
        </is>
      </c>
      <c r="J533" s="3" t="inlineStr">
        <is>
          <t>Chọn từ ngữ điền vào chỗ trống: "Chim hót líu lo trên …"</t>
        </is>
      </c>
      <c r="K533" s="3" t="inlineStr">
        <is>
          <t>A. cành | B. bàn | C. đường</t>
        </is>
      </c>
      <c r="L533" s="3" t="inlineStr">
        <is>
          <t>A</t>
        </is>
      </c>
      <c r="M533" s="3" t="inlineStr">
        <is>
          <t>Chim hót trên cành cây.</t>
        </is>
      </c>
      <c r="N533" s="3" t="n"/>
      <c r="O533" s="14" t="n">
        <v>40</v>
      </c>
      <c r="P533" s="14">
        <f>INDEX(Khung_cap_do!$H$2:$H$6,H533)</f>
        <v/>
      </c>
      <c r="Q533" s="3" t="inlineStr">
        <is>
          <t>V1.VIET.04</t>
        </is>
      </c>
      <c r="R533" s="3" t="inlineStr">
        <is>
          <t>TV.TUNGU</t>
        </is>
      </c>
    </row>
    <row r="534">
      <c r="A534" s="3" t="inlineStr">
        <is>
          <t>tv1-kntt-c07-q4</t>
        </is>
      </c>
      <c r="B534" s="3" t="inlineStr">
        <is>
          <t>Tiếng Việt</t>
        </is>
      </c>
      <c r="C534" s="3" t="inlineStr">
        <is>
          <t>Kết nối tri thức</t>
        </is>
      </c>
      <c r="D534" s="3" t="inlineStr">
        <is>
          <t>Tập hai · Chủ đề 7</t>
        </is>
      </c>
      <c r="E534" s="3" t="inlineStr">
        <is>
          <t>Học kì 2 · Chủ đề 5–8 và ôn tập cuối năm</t>
        </is>
      </c>
      <c r="F534" s="3" t="inlineStr">
        <is>
          <t>Chủ đề 7. Thế giới trong mắt em</t>
        </is>
      </c>
      <c r="G534" s="3" t="inlineStr">
        <is>
          <t>Chọn đáp án</t>
        </is>
      </c>
      <c r="H534" s="14" t="n">
        <v>2</v>
      </c>
      <c r="I534" s="3" t="inlineStr">
        <is>
          <t>Cơ bản</t>
        </is>
      </c>
      <c r="J534" s="3" t="inlineStr">
        <is>
          <t>Điền c hay k: "đàn …ò trắng"</t>
        </is>
      </c>
      <c r="K534" s="3" t="inlineStr">
        <is>
          <t>A. c | B. k</t>
        </is>
      </c>
      <c r="L534" s="3" t="inlineStr">
        <is>
          <t>A</t>
        </is>
      </c>
      <c r="M534" s="3" t="inlineStr">
        <is>
          <t>Trước o viết c: "cò".</t>
        </is>
      </c>
      <c r="N534" s="3" t="n"/>
      <c r="O534" s="14" t="n">
        <v>40</v>
      </c>
      <c r="P534" s="14">
        <f>INDEX(Khung_cap_do!$H$2:$H$6,H534)</f>
        <v/>
      </c>
      <c r="Q534" s="3" t="inlineStr">
        <is>
          <t>V1.AM.04</t>
        </is>
      </c>
      <c r="R534" s="3" t="inlineStr">
        <is>
          <t>TV.CHINHTA</t>
        </is>
      </c>
    </row>
    <row r="535">
      <c r="A535" s="3" t="inlineStr">
        <is>
          <t>tv1-kntt-c07-q5</t>
        </is>
      </c>
      <c r="B535" s="3" t="inlineStr">
        <is>
          <t>Tiếng Việt</t>
        </is>
      </c>
      <c r="C535" s="3" t="inlineStr">
        <is>
          <t>Kết nối tri thức</t>
        </is>
      </c>
      <c r="D535" s="3" t="inlineStr">
        <is>
          <t>Tập hai · Chủ đề 7</t>
        </is>
      </c>
      <c r="E535" s="3" t="inlineStr">
        <is>
          <t>Học kì 2 · Chủ đề 5–8 và ôn tập cuối năm</t>
        </is>
      </c>
      <c r="F535" s="3" t="inlineStr">
        <is>
          <t>Chủ đề 7. Thế giới trong mắt em</t>
        </is>
      </c>
      <c r="G535" s="3" t="inlineStr">
        <is>
          <t>Chọn nhiều đáp án</t>
        </is>
      </c>
      <c r="H535" s="14" t="n">
        <v>3</v>
      </c>
      <c r="I535" s="3" t="inlineStr">
        <is>
          <t>Vận dụng</t>
        </is>
      </c>
      <c r="J535" s="3" t="inlineStr">
        <is>
          <t>Chọn tất cả các từ chỉ cảnh vật buổi sáng.</t>
        </is>
      </c>
      <c r="K535" s="3" t="inlineStr">
        <is>
          <t>A. gà gáy | B. nắng sớm | C. chim hót | D. trăng sáng</t>
        </is>
      </c>
      <c r="L535" s="3" t="inlineStr">
        <is>
          <t>A, B, C</t>
        </is>
      </c>
      <c r="M535" s="3" t="inlineStr">
        <is>
          <t>Trăng sáng là cảnh buổi tối.</t>
        </is>
      </c>
      <c r="N535" s="3" t="inlineStr">
        <is>
          <t>Buổi sáng có gà gáy, nắng sớm, chim hót. Trăng sáng thường thấy vào buổi tối.</t>
        </is>
      </c>
      <c r="O535" s="14" t="n">
        <v>60</v>
      </c>
      <c r="P535" s="14">
        <f>INDEX(Khung_cap_do!$H$2:$H$6,H535)</f>
        <v/>
      </c>
      <c r="Q535" s="3" t="inlineStr">
        <is>
          <t>V1.VIET.04</t>
        </is>
      </c>
      <c r="R535" s="3" t="inlineStr">
        <is>
          <t>TV.TUNGU</t>
        </is>
      </c>
    </row>
    <row r="536">
      <c r="A536" s="3" t="inlineStr">
        <is>
          <t>tv1-kntt-c07-q6</t>
        </is>
      </c>
      <c r="B536" s="3" t="inlineStr">
        <is>
          <t>Tiếng Việt</t>
        </is>
      </c>
      <c r="C536" s="3" t="inlineStr">
        <is>
          <t>Kết nối tri thức</t>
        </is>
      </c>
      <c r="D536" s="3" t="inlineStr">
        <is>
          <t>Tập hai · Chủ đề 7</t>
        </is>
      </c>
      <c r="E536" s="3" t="inlineStr">
        <is>
          <t>Học kì 2 · Chủ đề 5–8 và ôn tập cuối năm</t>
        </is>
      </c>
      <c r="F536" s="3" t="inlineStr">
        <is>
          <t>Chủ đề 7. Thế giới trong mắt em</t>
        </is>
      </c>
      <c r="G536" s="3" t="inlineStr">
        <is>
          <t>Đúng / Sai</t>
        </is>
      </c>
      <c r="H536" s="14" t="n">
        <v>3</v>
      </c>
      <c r="I536" s="3" t="inlineStr">
        <is>
          <t>Vận dụng</t>
        </is>
      </c>
      <c r="J536" s="3" t="inlineStr">
        <is>
          <t>Ve kêu râm ran báo hiệu mùa hè đến. Đúng hay sai?</t>
        </is>
      </c>
      <c r="K536" s="3" t="inlineStr">
        <is>
          <t>A. Đúng | B. Sai</t>
        </is>
      </c>
      <c r="L536" s="3" t="inlineStr">
        <is>
          <t>A</t>
        </is>
      </c>
      <c r="M536" s="3" t="inlineStr">
        <is>
          <t>Tiếng ve gắn với mùa hè.</t>
        </is>
      </c>
      <c r="N536" s="3" t="inlineStr">
        <is>
          <t>Mùa hè, ve kêu râm ran trên cành cây, hoa phượng nở. Câu đúng.</t>
        </is>
      </c>
      <c r="O536" s="14" t="n">
        <v>50</v>
      </c>
      <c r="P536" s="14">
        <f>INDEX(Khung_cap_do!$H$2:$H$6,H536)</f>
        <v/>
      </c>
      <c r="Q536" s="3" t="inlineStr">
        <is>
          <t>V1.DOC.04</t>
        </is>
      </c>
      <c r="R536" s="3" t="inlineStr">
        <is>
          <t>TV.DOCHIEU</t>
        </is>
      </c>
    </row>
    <row r="537">
      <c r="A537" s="3" t="inlineStr">
        <is>
          <t>tv1-kntt-c07-q7</t>
        </is>
      </c>
      <c r="B537" s="3" t="inlineStr">
        <is>
          <t>Tiếng Việt</t>
        </is>
      </c>
      <c r="C537" s="3" t="inlineStr">
        <is>
          <t>Kết nối tri thức</t>
        </is>
      </c>
      <c r="D537" s="3" t="inlineStr">
        <is>
          <t>Tập hai · Chủ đề 7</t>
        </is>
      </c>
      <c r="E537" s="3" t="inlineStr">
        <is>
          <t>Học kì 2 · Chủ đề 5–8 và ôn tập cuối năm</t>
        </is>
      </c>
      <c r="F537" s="3" t="inlineStr">
        <is>
          <t>Chủ đề 7. Thế giới trong mắt em</t>
        </is>
      </c>
      <c r="G537" s="3" t="inlineStr">
        <is>
          <t>Sắp xếp</t>
        </is>
      </c>
      <c r="H537" s="14" t="n">
        <v>4</v>
      </c>
      <c r="I537" s="3" t="inlineStr">
        <is>
          <t>Thử thách</t>
        </is>
      </c>
      <c r="J537" s="3" t="inlineStr">
        <is>
          <t>Sắp xếp các từ ngữ thành câu đúng.</t>
        </is>
      </c>
      <c r="K537" s="3" t="inlineStr">
        <is>
          <t>bay / trắng / tổ / về / Đàn cò</t>
        </is>
      </c>
      <c r="L537" s="3" t="inlineStr">
        <is>
          <t>Đàn cò → trắng → bay → về → tổ</t>
        </is>
      </c>
      <c r="M537" s="3" t="inlineStr">
        <is>
          <t>Đàn cò trắng bay về tổ.</t>
        </is>
      </c>
      <c r="N537" s="3" t="inlineStr">
        <is>
          <t>"Đàn cò" viết hoa đứng đầu: Đàn cò trắng bay về tổ.</t>
        </is>
      </c>
      <c r="O537" s="14" t="n">
        <v>75</v>
      </c>
      <c r="P537" s="14">
        <f>INDEX(Khung_cap_do!$H$2:$H$6,H537)</f>
        <v/>
      </c>
      <c r="Q537" s="3" t="inlineStr">
        <is>
          <t>V1.DOC.02</t>
        </is>
      </c>
      <c r="R537" s="3" t="inlineStr">
        <is>
          <t>TV.XEPCAU</t>
        </is>
      </c>
    </row>
    <row r="538">
      <c r="A538" s="3" t="inlineStr">
        <is>
          <t>tv1-kntt-c07-q8</t>
        </is>
      </c>
      <c r="B538" s="3" t="inlineStr">
        <is>
          <t>Tiếng Việt</t>
        </is>
      </c>
      <c r="C538" s="3" t="inlineStr">
        <is>
          <t>Kết nối tri thức</t>
        </is>
      </c>
      <c r="D538" s="3" t="inlineStr">
        <is>
          <t>Tập hai · Chủ đề 7</t>
        </is>
      </c>
      <c r="E538" s="3" t="inlineStr">
        <is>
          <t>Học kì 2 · Chủ đề 5–8 và ôn tập cuối năm</t>
        </is>
      </c>
      <c r="F538" s="3" t="inlineStr">
        <is>
          <t>Chủ đề 7. Thế giới trong mắt em</t>
        </is>
      </c>
      <c r="G538" s="3" t="inlineStr">
        <is>
          <t>Ghép cặp</t>
        </is>
      </c>
      <c r="H538" s="14" t="n">
        <v>5</v>
      </c>
      <c r="I538" s="3" t="inlineStr">
        <is>
          <t>Mở rộng</t>
        </is>
      </c>
      <c r="J538" s="3" t="inlineStr">
        <is>
          <t>Ghép sự vật với đặc điểm của nó.</t>
        </is>
      </c>
      <c r="K538" s="3" t="inlineStr">
        <is>
          <t>Hoa phượng ↔ ? / Đàn cò ↔ ? / Nắng sớm ↔ ?</t>
        </is>
      </c>
      <c r="L538" s="3" t="inlineStr">
        <is>
          <t>Hoa phượng – đỏ rực; Đàn cò – trắng muốt; Nắng sớm – vàng tươi</t>
        </is>
      </c>
      <c r="M538" s="3" t="inlineStr">
        <is>
          <t>Phượng đỏ rực, cò trắng muốt, nắng vàng tươi.</t>
        </is>
      </c>
      <c r="N538" s="3" t="inlineStr">
        <is>
          <t>Nghĩ về màu của từng sự vật: hoa phượng màu đỏ, cò màu trắng, nắng sớm màu vàng.</t>
        </is>
      </c>
      <c r="O538" s="14" t="n">
        <v>90</v>
      </c>
      <c r="P538" s="14">
        <f>INDEX(Khung_cap_do!$H$2:$H$6,H538)</f>
        <v/>
      </c>
      <c r="Q538" s="3" t="inlineStr">
        <is>
          <t>V1.VIET.04</t>
        </is>
      </c>
      <c r="R538" s="3" t="inlineStr">
        <is>
          <t>TV.NOITU</t>
        </is>
      </c>
    </row>
    <row r="539">
      <c r="A539" s="3" t="inlineStr">
        <is>
          <t>tv1-kntt-c08-q1</t>
        </is>
      </c>
      <c r="B539" s="3" t="inlineStr">
        <is>
          <t>Tiếng Việt</t>
        </is>
      </c>
      <c r="C539" s="3" t="inlineStr">
        <is>
          <t>Kết nối tri thức</t>
        </is>
      </c>
      <c r="D539" s="3" t="inlineStr">
        <is>
          <t>Tập hai · Chủ đề 8</t>
        </is>
      </c>
      <c r="E539" s="3" t="inlineStr">
        <is>
          <t>Học kì 2 · Chủ đề 5–8 và ôn tập cuối năm</t>
        </is>
      </c>
      <c r="F539" s="3" t="inlineStr">
        <is>
          <t>Chủ đề 8. Đất nước và con người</t>
        </is>
      </c>
      <c r="G539" s="3" t="inlineStr">
        <is>
          <t>Chọn đáp án</t>
        </is>
      </c>
      <c r="H539" s="14" t="n">
        <v>1</v>
      </c>
      <c r="I539" s="3" t="inlineStr">
        <is>
          <t>Làm quen</t>
        </is>
      </c>
      <c r="J539" s="3" t="inlineStr">
        <is>
          <t>Ai dập lửa khi có đám cháy?</t>
        </is>
      </c>
      <c r="K539" s="3" t="inlineStr">
        <is>
          <t>A. Lính cứu hỏa | B. Bác nông dân | C. Cô giáo</t>
        </is>
      </c>
      <c r="L539" s="3" t="inlineStr">
        <is>
          <t>A</t>
        </is>
      </c>
      <c r="M539" s="3" t="inlineStr">
        <is>
          <t>Lính cứu hỏa dập lửa, cứu người.</t>
        </is>
      </c>
      <c r="N539" s="3" t="n"/>
      <c r="O539" s="14" t="n">
        <v>30</v>
      </c>
      <c r="P539" s="14">
        <f>INDEX(Khung_cap_do!$H$2:$H$6,H539)</f>
        <v/>
      </c>
      <c r="Q539" s="3" t="inlineStr">
        <is>
          <t>V1.DOC.04</t>
        </is>
      </c>
      <c r="R539" s="3" t="inlineStr">
        <is>
          <t>TV.DOCHIEU</t>
        </is>
      </c>
    </row>
    <row r="540">
      <c r="A540" s="3" t="inlineStr">
        <is>
          <t>tv1-kntt-c08-q2</t>
        </is>
      </c>
      <c r="B540" s="3" t="inlineStr">
        <is>
          <t>Tiếng Việt</t>
        </is>
      </c>
      <c r="C540" s="3" t="inlineStr">
        <is>
          <t>Kết nối tri thức</t>
        </is>
      </c>
      <c r="D540" s="3" t="inlineStr">
        <is>
          <t>Tập hai · Chủ đề 8</t>
        </is>
      </c>
      <c r="E540" s="3" t="inlineStr">
        <is>
          <t>Học kì 2 · Chủ đề 5–8 và ôn tập cuối năm</t>
        </is>
      </c>
      <c r="F540" s="3" t="inlineStr">
        <is>
          <t>Chủ đề 8. Đất nước và con người</t>
        </is>
      </c>
      <c r="G540" s="3" t="inlineStr">
        <is>
          <t>Chọn đáp án</t>
        </is>
      </c>
      <c r="H540" s="14" t="n">
        <v>1</v>
      </c>
      <c r="I540" s="3" t="inlineStr">
        <is>
          <t>Làm quen</t>
        </is>
      </c>
      <c r="J540" s="3" t="inlineStr">
        <is>
          <t>Ai chữa bệnh cho mọi người?</t>
        </is>
      </c>
      <c r="K540" s="3" t="inlineStr">
        <is>
          <t>A. Bác sĩ | B. Chú thợ xây | C. Bác đưa thư</t>
        </is>
      </c>
      <c r="L540" s="3" t="inlineStr">
        <is>
          <t>A</t>
        </is>
      </c>
      <c r="M540" s="3" t="inlineStr">
        <is>
          <t>Bác sĩ chữa bệnh.</t>
        </is>
      </c>
      <c r="N540" s="3" t="n"/>
      <c r="O540" s="14" t="n">
        <v>30</v>
      </c>
      <c r="P540" s="14">
        <f>INDEX(Khung_cap_do!$H$2:$H$6,H540)</f>
        <v/>
      </c>
      <c r="Q540" s="3" t="inlineStr">
        <is>
          <t>V1.DOC.04</t>
        </is>
      </c>
      <c r="R540" s="3" t="inlineStr">
        <is>
          <t>TV.DOCHIEU</t>
        </is>
      </c>
    </row>
    <row r="541">
      <c r="A541" s="3" t="inlineStr">
        <is>
          <t>tv1-kntt-c08-q3</t>
        </is>
      </c>
      <c r="B541" s="3" t="inlineStr">
        <is>
          <t>Tiếng Việt</t>
        </is>
      </c>
      <c r="C541" s="3" t="inlineStr">
        <is>
          <t>Kết nối tri thức</t>
        </is>
      </c>
      <c r="D541" s="3" t="inlineStr">
        <is>
          <t>Tập hai · Chủ đề 8</t>
        </is>
      </c>
      <c r="E541" s="3" t="inlineStr">
        <is>
          <t>Học kì 2 · Chủ đề 5–8 và ôn tập cuối năm</t>
        </is>
      </c>
      <c r="F541" s="3" t="inlineStr">
        <is>
          <t>Chủ đề 8. Đất nước và con người</t>
        </is>
      </c>
      <c r="G541" s="3" t="inlineStr">
        <is>
          <t>Đúng / Sai</t>
        </is>
      </c>
      <c r="H541" s="14" t="n">
        <v>2</v>
      </c>
      <c r="I541" s="3" t="inlineStr">
        <is>
          <t>Cơ bản</t>
        </is>
      </c>
      <c r="J541" s="3" t="inlineStr">
        <is>
          <t>Tên nước ta viết là "Việt Nam", viết hoa cả hai tiếng. Đúng hay sai?</t>
        </is>
      </c>
      <c r="K541" s="3" t="inlineStr">
        <is>
          <t>A. Đúng | B. Sai</t>
        </is>
      </c>
      <c r="L541" s="3" t="inlineStr">
        <is>
          <t>A</t>
        </is>
      </c>
      <c r="M541" s="3" t="inlineStr">
        <is>
          <t>Tên riêng viết hoa chữ cái đầu mỗi tiếng: Việt Nam.</t>
        </is>
      </c>
      <c r="N541" s="3" t="n"/>
      <c r="O541" s="14" t="n">
        <v>50</v>
      </c>
      <c r="P541" s="14">
        <f>INDEX(Khung_cap_do!$H$2:$H$6,H541)</f>
        <v/>
      </c>
      <c r="Q541" s="3" t="inlineStr">
        <is>
          <t>V1.VIET.03</t>
        </is>
      </c>
      <c r="R541" s="3" t="inlineStr">
        <is>
          <t>TV.CHINHTA</t>
        </is>
      </c>
    </row>
    <row r="542">
      <c r="A542" s="3" t="inlineStr">
        <is>
          <t>tv1-kntt-c08-q4</t>
        </is>
      </c>
      <c r="B542" s="3" t="inlineStr">
        <is>
          <t>Tiếng Việt</t>
        </is>
      </c>
      <c r="C542" s="3" t="inlineStr">
        <is>
          <t>Kết nối tri thức</t>
        </is>
      </c>
      <c r="D542" s="3" t="inlineStr">
        <is>
          <t>Tập hai · Chủ đề 8</t>
        </is>
      </c>
      <c r="E542" s="3" t="inlineStr">
        <is>
          <t>Học kì 2 · Chủ đề 5–8 và ôn tập cuối năm</t>
        </is>
      </c>
      <c r="F542" s="3" t="inlineStr">
        <is>
          <t>Chủ đề 8. Đất nước và con người</t>
        </is>
      </c>
      <c r="G542" s="3" t="inlineStr">
        <is>
          <t>Chọn đáp án</t>
        </is>
      </c>
      <c r="H542" s="14" t="n">
        <v>2</v>
      </c>
      <c r="I542" s="3" t="inlineStr">
        <is>
          <t>Cơ bản</t>
        </is>
      </c>
      <c r="J542" s="3" t="inlineStr">
        <is>
          <t>Chọn từ ngữ điền vào chỗ trống: "Bác nông dân … lúa trên đồng."</t>
        </is>
      </c>
      <c r="K542" s="3" t="inlineStr">
        <is>
          <t>A. cấy | B. xây | C. dạy</t>
        </is>
      </c>
      <c r="L542" s="3" t="inlineStr">
        <is>
          <t>A</t>
        </is>
      </c>
      <c r="M542" s="3" t="inlineStr">
        <is>
          <t>Bác nông dân cấy lúa.</t>
        </is>
      </c>
      <c r="N542" s="3" t="n"/>
      <c r="O542" s="14" t="n">
        <v>50</v>
      </c>
      <c r="P542" s="14">
        <f>INDEX(Khung_cap_do!$H$2:$H$6,H542)</f>
        <v/>
      </c>
      <c r="Q542" s="3" t="inlineStr">
        <is>
          <t>V1.VIET.04</t>
        </is>
      </c>
      <c r="R542" s="3" t="inlineStr">
        <is>
          <t>TV.TUNGU</t>
        </is>
      </c>
    </row>
    <row r="543">
      <c r="A543" s="3" t="inlineStr">
        <is>
          <t>tv1-kntt-c08-q5</t>
        </is>
      </c>
      <c r="B543" s="3" t="inlineStr">
        <is>
          <t>Tiếng Việt</t>
        </is>
      </c>
      <c r="C543" s="3" t="inlineStr">
        <is>
          <t>Kết nối tri thức</t>
        </is>
      </c>
      <c r="D543" s="3" t="inlineStr">
        <is>
          <t>Tập hai · Chủ đề 8</t>
        </is>
      </c>
      <c r="E543" s="3" t="inlineStr">
        <is>
          <t>Học kì 2 · Chủ đề 5–8 và ôn tập cuối năm</t>
        </is>
      </c>
      <c r="F543" s="3" t="inlineStr">
        <is>
          <t>Chủ đề 8. Đất nước và con người</t>
        </is>
      </c>
      <c r="G543" s="3" t="inlineStr">
        <is>
          <t>Ghép cặp</t>
        </is>
      </c>
      <c r="H543" s="14" t="n">
        <v>3</v>
      </c>
      <c r="I543" s="3" t="inlineStr">
        <is>
          <t>Vận dụng</t>
        </is>
      </c>
      <c r="J543" s="3" t="inlineStr">
        <is>
          <t>Ghép nghề với công việc.</t>
        </is>
      </c>
      <c r="K543" s="3" t="inlineStr">
        <is>
          <t>Thợ xây ↔ ? / Bác sĩ ↔ ? / Cô giáo ↔ ?</t>
        </is>
      </c>
      <c r="L543" s="3" t="inlineStr">
        <is>
          <t>Thợ xây – xây nhà; Bác sĩ – chữa bệnh; Cô giáo – dạy học</t>
        </is>
      </c>
      <c r="M543" s="3" t="inlineStr">
        <is>
          <t>Thợ xây xây nhà, bác sĩ chữa bệnh, cô giáo dạy học.</t>
        </is>
      </c>
      <c r="N543" s="3" t="inlineStr">
        <is>
          <t>Đọc tên nghề rồi nghĩ xem người làm nghề đó làm việc gì.</t>
        </is>
      </c>
      <c r="O543" s="14" t="n">
        <v>65</v>
      </c>
      <c r="P543" s="14">
        <f>INDEX(Khung_cap_do!$H$2:$H$6,H543)</f>
        <v/>
      </c>
      <c r="Q543" s="3" t="inlineStr">
        <is>
          <t>V1.VIET.04</t>
        </is>
      </c>
      <c r="R543" s="3" t="inlineStr">
        <is>
          <t>TV.NOITU</t>
        </is>
      </c>
    </row>
    <row r="544">
      <c r="A544" s="3" t="inlineStr">
        <is>
          <t>tv1-kntt-c08-q6</t>
        </is>
      </c>
      <c r="B544" s="3" t="inlineStr">
        <is>
          <t>Tiếng Việt</t>
        </is>
      </c>
      <c r="C544" s="3" t="inlineStr">
        <is>
          <t>Kết nối tri thức</t>
        </is>
      </c>
      <c r="D544" s="3" t="inlineStr">
        <is>
          <t>Tập hai · Chủ đề 8</t>
        </is>
      </c>
      <c r="E544" s="3" t="inlineStr">
        <is>
          <t>Học kì 2 · Chủ đề 5–8 và ôn tập cuối năm</t>
        </is>
      </c>
      <c r="F544" s="3" t="inlineStr">
        <is>
          <t>Chủ đề 8. Đất nước và con người</t>
        </is>
      </c>
      <c r="G544" s="3" t="inlineStr">
        <is>
          <t>Chọn nhiều đáp án</t>
        </is>
      </c>
      <c r="H544" s="14" t="n">
        <v>4</v>
      </c>
      <c r="I544" s="3" t="inlineStr">
        <is>
          <t>Thử thách</t>
        </is>
      </c>
      <c r="J544" s="3" t="inlineStr">
        <is>
          <t>Câu "em đi du lịch ở đà nẵng" cần viết hoa những chữ nào? Chọn tất cả.</t>
        </is>
      </c>
      <c r="K544" s="3" t="inlineStr">
        <is>
          <t>A. em | B. đi | C. du | D. lịch | E. đà | F. nẵng</t>
        </is>
      </c>
      <c r="L544" s="3" t="inlineStr">
        <is>
          <t>A, E, F</t>
        </is>
      </c>
      <c r="M544" s="3" t="inlineStr">
        <is>
          <t>Viết hoa chữ đầu câu (Em) và tên riêng (Đà Nẵng).</t>
        </is>
      </c>
      <c r="N544" s="3" t="inlineStr">
        <is>
          <t>Chữ đầu câu viết hoa: Em. Tên thành phố là tên riêng, viết hoa mỗi tiếng: Đà Nẵng. Câu đúng: Em đi du lịch ở Đà Nẵng.</t>
        </is>
      </c>
      <c r="O544" s="14" t="n">
        <v>80</v>
      </c>
      <c r="P544" s="14">
        <f>INDEX(Khung_cap_do!$H$2:$H$6,H544)</f>
        <v/>
      </c>
      <c r="Q544" s="3" t="inlineStr">
        <is>
          <t>V1.VIET.03</t>
        </is>
      </c>
      <c r="R544" s="3" t="inlineStr">
        <is>
          <t>TV.CHINHTA</t>
        </is>
      </c>
    </row>
    <row r="545">
      <c r="A545" s="3" t="inlineStr">
        <is>
          <t>tv1-kntt-c08-q7</t>
        </is>
      </c>
      <c r="B545" s="3" t="inlineStr">
        <is>
          <t>Tiếng Việt</t>
        </is>
      </c>
      <c r="C545" s="3" t="inlineStr">
        <is>
          <t>Kết nối tri thức</t>
        </is>
      </c>
      <c r="D545" s="3" t="inlineStr">
        <is>
          <t>Tập hai · Chủ đề 8</t>
        </is>
      </c>
      <c r="E545" s="3" t="inlineStr">
        <is>
          <t>Học kì 2 · Chủ đề 5–8 và ôn tập cuối năm</t>
        </is>
      </c>
      <c r="F545" s="3" t="inlineStr">
        <is>
          <t>Chủ đề 8. Đất nước và con người</t>
        </is>
      </c>
      <c r="G545" s="3" t="inlineStr">
        <is>
          <t>Sắp xếp</t>
        </is>
      </c>
      <c r="H545" s="14" t="n">
        <v>4</v>
      </c>
      <c r="I545" s="3" t="inlineStr">
        <is>
          <t>Thử thách</t>
        </is>
      </c>
      <c r="J545" s="3" t="inlineStr">
        <is>
          <t>Sắp xếp các từ ngữ thành câu đúng.</t>
        </is>
      </c>
      <c r="K545" s="3" t="inlineStr">
        <is>
          <t>Em / biết ơn / các chú / lính cứu hỏa</t>
        </is>
      </c>
      <c r="L545" s="3" t="inlineStr">
        <is>
          <t>Em → biết ơn → các chú → lính cứu hỏa</t>
        </is>
      </c>
      <c r="M545" s="3" t="inlineStr">
        <is>
          <t>Em biết ơn các chú lính cứu hỏa.</t>
        </is>
      </c>
      <c r="N545" s="3" t="inlineStr">
        <is>
          <t>Từ viết hoa "Em" đứng đầu: Em biết ơn các chú lính cứu hỏa.</t>
        </is>
      </c>
      <c r="O545" s="14" t="n">
        <v>75</v>
      </c>
      <c r="P545" s="14">
        <f>INDEX(Khung_cap_do!$H$2:$H$6,H545)</f>
        <v/>
      </c>
      <c r="Q545" s="3" t="inlineStr">
        <is>
          <t>V1.DOC.02</t>
        </is>
      </c>
      <c r="R545" s="3" t="inlineStr">
        <is>
          <t>TV.XEPCAU</t>
        </is>
      </c>
    </row>
    <row r="546">
      <c r="A546" s="3" t="inlineStr">
        <is>
          <t>tv1-kntt-c08-q8</t>
        </is>
      </c>
      <c r="B546" s="3" t="inlineStr">
        <is>
          <t>Tiếng Việt</t>
        </is>
      </c>
      <c r="C546" s="3" t="inlineStr">
        <is>
          <t>Kết nối tri thức</t>
        </is>
      </c>
      <c r="D546" s="3" t="inlineStr">
        <is>
          <t>Tập hai · Chủ đề 8</t>
        </is>
      </c>
      <c r="E546" s="3" t="inlineStr">
        <is>
          <t>Học kì 2 · Chủ đề 5–8 và ôn tập cuối năm</t>
        </is>
      </c>
      <c r="F546" s="3" t="inlineStr">
        <is>
          <t>Chủ đề 8. Đất nước và con người</t>
        </is>
      </c>
      <c r="G546" s="3" t="inlineStr">
        <is>
          <t>Đúng / Sai</t>
        </is>
      </c>
      <c r="H546" s="14" t="n">
        <v>5</v>
      </c>
      <c r="I546" s="3" t="inlineStr">
        <is>
          <t>Mở rộng</t>
        </is>
      </c>
      <c r="J546" s="3" t="inlineStr">
        <is>
          <t>Ruộng bậc thang thường có ở vùng biển. Đúng hay sai?</t>
        </is>
      </c>
      <c r="K546" s="3" t="inlineStr">
        <is>
          <t>A. Đúng | B. Sai</t>
        </is>
      </c>
      <c r="L546" s="3" t="inlineStr">
        <is>
          <t>B</t>
        </is>
      </c>
      <c r="M546" s="3" t="inlineStr">
        <is>
          <t>Ruộng bậc thang có ở vùng núi.</t>
        </is>
      </c>
      <c r="N546" s="3" t="inlineStr">
        <is>
          <t>Ruộng bậc thang được làm trên sườn đồi, sườn núi, như ở Sa Pa. Vùng biển không có ruộng bậc thang. Câu sai.</t>
        </is>
      </c>
      <c r="O546" s="14" t="n">
        <v>75</v>
      </c>
      <c r="P546" s="14">
        <f>INDEX(Khung_cap_do!$H$2:$H$6,H546)</f>
        <v/>
      </c>
      <c r="Q546" s="3" t="inlineStr">
        <is>
          <t>V1.DOC.04</t>
        </is>
      </c>
      <c r="R546" s="3" t="inlineStr">
        <is>
          <t>TV.DOCHIEU</t>
        </is>
      </c>
    </row>
    <row r="547">
      <c r="A547" s="3" t="inlineStr">
        <is>
          <t>tv1-kntt-c09-q1</t>
        </is>
      </c>
      <c r="B547" s="3" t="inlineStr">
        <is>
          <t>Tiếng Việt</t>
        </is>
      </c>
      <c r="C547" s="3" t="inlineStr">
        <is>
          <t>Kết nối tri thức</t>
        </is>
      </c>
      <c r="D547" s="3" t="inlineStr">
        <is>
          <t>Tập hai · Ôn tập cuối năm</t>
        </is>
      </c>
      <c r="E547" s="3" t="inlineStr">
        <is>
          <t>Học kì 2 · Chủ đề 5–8 và ôn tập cuối năm</t>
        </is>
      </c>
      <c r="F547" s="3" t="inlineStr">
        <is>
          <t>Ôn tập cuối năm</t>
        </is>
      </c>
      <c r="G547" s="3" t="inlineStr">
        <is>
          <t>Chọn đáp án</t>
        </is>
      </c>
      <c r="H547" s="14" t="n">
        <v>1</v>
      </c>
      <c r="I547" s="3" t="inlineStr">
        <is>
          <t>Làm quen</t>
        </is>
      </c>
      <c r="J547" s="3" t="inlineStr">
        <is>
          <t>Chọn dấu câu đặt cuối câu: "Hôm nay em được cô khen …"</t>
        </is>
      </c>
      <c r="K547" s="3" t="inlineStr">
        <is>
          <t>A. . | B. ?</t>
        </is>
      </c>
      <c r="L547" s="3" t="inlineStr">
        <is>
          <t>A</t>
        </is>
      </c>
      <c r="M547" s="3" t="inlineStr">
        <is>
          <t>Câu kể: đặt dấu chấm.</t>
        </is>
      </c>
      <c r="N547" s="3" t="n"/>
      <c r="O547" s="14" t="n">
        <v>30</v>
      </c>
      <c r="P547" s="14">
        <f>INDEX(Khung_cap_do!$H$2:$H$6,H547)</f>
        <v/>
      </c>
      <c r="Q547" s="3" t="inlineStr">
        <is>
          <t>V1.VIET.05</t>
        </is>
      </c>
      <c r="R547" s="3" t="inlineStr">
        <is>
          <t>TV.DAUCAU</t>
        </is>
      </c>
    </row>
    <row r="548">
      <c r="A548" s="3" t="inlineStr">
        <is>
          <t>tv1-kntt-c09-q2</t>
        </is>
      </c>
      <c r="B548" s="3" t="inlineStr">
        <is>
          <t>Tiếng Việt</t>
        </is>
      </c>
      <c r="C548" s="3" t="inlineStr">
        <is>
          <t>Kết nối tri thức</t>
        </is>
      </c>
      <c r="D548" s="3" t="inlineStr">
        <is>
          <t>Tập hai · Ôn tập cuối năm</t>
        </is>
      </c>
      <c r="E548" s="3" t="inlineStr">
        <is>
          <t>Học kì 2 · Chủ đề 5–8 và ôn tập cuối năm</t>
        </is>
      </c>
      <c r="F548" s="3" t="inlineStr">
        <is>
          <t>Ôn tập cuối năm</t>
        </is>
      </c>
      <c r="G548" s="3" t="inlineStr">
        <is>
          <t>Chọn đáp án</t>
        </is>
      </c>
      <c r="H548" s="14" t="n">
        <v>1</v>
      </c>
      <c r="I548" s="3" t="inlineStr">
        <is>
          <t>Làm quen</t>
        </is>
      </c>
      <c r="J548" s="3" t="inlineStr">
        <is>
          <t>Từ nào chỉ đặc điểm?</t>
        </is>
      </c>
      <c r="K548" s="3" t="inlineStr">
        <is>
          <t>A. ngoan | B. học | C. bàn</t>
        </is>
      </c>
      <c r="L548" s="3" t="inlineStr">
        <is>
          <t>A</t>
        </is>
      </c>
      <c r="M548" s="3" t="inlineStr">
        <is>
          <t>"Ngoan" chỉ tính nết, là từ chỉ đặc điểm.</t>
        </is>
      </c>
      <c r="N548" s="3" t="n"/>
      <c r="O548" s="14" t="n">
        <v>30</v>
      </c>
      <c r="P548" s="14">
        <f>INDEX(Khung_cap_do!$H$2:$H$6,H548)</f>
        <v/>
      </c>
      <c r="Q548" s="3" t="inlineStr">
        <is>
          <t>V1.VIET.04</t>
        </is>
      </c>
      <c r="R548" s="3" t="inlineStr">
        <is>
          <t>TV.TUNGU</t>
        </is>
      </c>
    </row>
    <row r="549">
      <c r="A549" s="3" t="inlineStr">
        <is>
          <t>tv1-kntt-c09-q3</t>
        </is>
      </c>
      <c r="B549" s="3" t="inlineStr">
        <is>
          <t>Tiếng Việt</t>
        </is>
      </c>
      <c r="C549" s="3" t="inlineStr">
        <is>
          <t>Kết nối tri thức</t>
        </is>
      </c>
      <c r="D549" s="3" t="inlineStr">
        <is>
          <t>Tập hai · Ôn tập cuối năm</t>
        </is>
      </c>
      <c r="E549" s="3" t="inlineStr">
        <is>
          <t>Học kì 2 · Chủ đề 5–8 và ôn tập cuối năm</t>
        </is>
      </c>
      <c r="F549" s="3" t="inlineStr">
        <is>
          <t>Ôn tập cuối năm</t>
        </is>
      </c>
      <c r="G549" s="3" t="inlineStr">
        <is>
          <t>Chọn đáp án</t>
        </is>
      </c>
      <c r="H549" s="14" t="n">
        <v>2</v>
      </c>
      <c r="I549" s="3" t="inlineStr">
        <is>
          <t>Cơ bản</t>
        </is>
      </c>
      <c r="J549" s="3" t="inlineStr">
        <is>
          <t>Điền ng hay ngh: "…e lời cô giáo"</t>
        </is>
      </c>
      <c r="K549" s="3" t="inlineStr">
        <is>
          <t>A. ng | B. ngh</t>
        </is>
      </c>
      <c r="L549" s="3" t="inlineStr">
        <is>
          <t>B</t>
        </is>
      </c>
      <c r="M549" s="3" t="inlineStr">
        <is>
          <t>Trước e viết ngh: "nghe".</t>
        </is>
      </c>
      <c r="N549" s="3" t="n"/>
      <c r="O549" s="14" t="n">
        <v>40</v>
      </c>
      <c r="P549" s="14">
        <f>INDEX(Khung_cap_do!$H$2:$H$6,H549)</f>
        <v/>
      </c>
      <c r="Q549" s="3" t="inlineStr">
        <is>
          <t>V1.AM.04</t>
        </is>
      </c>
      <c r="R549" s="3" t="inlineStr">
        <is>
          <t>TV.CHINHTA</t>
        </is>
      </c>
    </row>
    <row r="550">
      <c r="A550" s="3" t="inlineStr">
        <is>
          <t>tv1-kntt-c09-q4</t>
        </is>
      </c>
      <c r="B550" s="3" t="inlineStr">
        <is>
          <t>Tiếng Việt</t>
        </is>
      </c>
      <c r="C550" s="3" t="inlineStr">
        <is>
          <t>Kết nối tri thức</t>
        </is>
      </c>
      <c r="D550" s="3" t="inlineStr">
        <is>
          <t>Tập hai · Ôn tập cuối năm</t>
        </is>
      </c>
      <c r="E550" s="3" t="inlineStr">
        <is>
          <t>Học kì 2 · Chủ đề 5–8 và ôn tập cuối năm</t>
        </is>
      </c>
      <c r="F550" s="3" t="inlineStr">
        <is>
          <t>Ôn tập cuối năm</t>
        </is>
      </c>
      <c r="G550" s="3" t="inlineStr">
        <is>
          <t>Chọn đáp án</t>
        </is>
      </c>
      <c r="H550" s="14" t="n">
        <v>2</v>
      </c>
      <c r="I550" s="3" t="inlineStr">
        <is>
          <t>Cơ bản</t>
        </is>
      </c>
      <c r="J550" s="3" t="inlineStr">
        <is>
          <t>Điền g hay gh: "…ế nhựa"</t>
        </is>
      </c>
      <c r="K550" s="3" t="inlineStr">
        <is>
          <t>A. g | B. gh</t>
        </is>
      </c>
      <c r="L550" s="3" t="inlineStr">
        <is>
          <t>B</t>
        </is>
      </c>
      <c r="M550" s="3" t="inlineStr">
        <is>
          <t>Trước ê viết gh: "ghế".</t>
        </is>
      </c>
      <c r="N550" s="3" t="n"/>
      <c r="O550" s="14" t="n">
        <v>40</v>
      </c>
      <c r="P550" s="14">
        <f>INDEX(Khung_cap_do!$H$2:$H$6,H550)</f>
        <v/>
      </c>
      <c r="Q550" s="3" t="inlineStr">
        <is>
          <t>V1.AM.04</t>
        </is>
      </c>
      <c r="R550" s="3" t="inlineStr">
        <is>
          <t>TV.CHINHTA</t>
        </is>
      </c>
    </row>
    <row r="551">
      <c r="A551" s="3" t="inlineStr">
        <is>
          <t>tv1-kntt-c09-q5</t>
        </is>
      </c>
      <c r="B551" s="3" t="inlineStr">
        <is>
          <t>Tiếng Việt</t>
        </is>
      </c>
      <c r="C551" s="3" t="inlineStr">
        <is>
          <t>Kết nối tri thức</t>
        </is>
      </c>
      <c r="D551" s="3" t="inlineStr">
        <is>
          <t>Tập hai · Ôn tập cuối năm</t>
        </is>
      </c>
      <c r="E551" s="3" t="inlineStr">
        <is>
          <t>Học kì 2 · Chủ đề 5–8 và ôn tập cuối năm</t>
        </is>
      </c>
      <c r="F551" s="3" t="inlineStr">
        <is>
          <t>Ôn tập cuối năm</t>
        </is>
      </c>
      <c r="G551" s="3" t="inlineStr">
        <is>
          <t>Chọn nhiều đáp án</t>
        </is>
      </c>
      <c r="H551" s="14" t="n">
        <v>3</v>
      </c>
      <c r="I551" s="3" t="inlineStr">
        <is>
          <t>Vận dụng</t>
        </is>
      </c>
      <c r="J551" s="3" t="inlineStr">
        <is>
          <t>Chọn tất cả các câu hỏi (cần dấu chấm hỏi).</t>
        </is>
      </c>
      <c r="K551" s="3" t="inlineStr">
        <is>
          <t>A. Bạn đi đâu đấy | B. Em thích đọc truyện | C. Ai đang hát thế | D. Mẹ em là bác sĩ</t>
        </is>
      </c>
      <c r="L551" s="3" t="inlineStr">
        <is>
          <t>A, C</t>
        </is>
      </c>
      <c r="M551" s="3" t="inlineStr">
        <is>
          <t>Câu có "đâu", "ai" dùng để hỏi.</t>
        </is>
      </c>
      <c r="N551" s="3" t="inlineStr">
        <is>
          <t>Câu dùng để hỏi thường có các từ ai, gì, đâu, mấy, không. "Bạn đi đâu đấy" và "Ai đang hát thế" là câu hỏi.</t>
        </is>
      </c>
      <c r="O551" s="14" t="n">
        <v>60</v>
      </c>
      <c r="P551" s="14">
        <f>INDEX(Khung_cap_do!$H$2:$H$6,H551)</f>
        <v/>
      </c>
      <c r="Q551" s="3" t="inlineStr">
        <is>
          <t>V1.VIET.05</t>
        </is>
      </c>
      <c r="R551" s="3" t="inlineStr">
        <is>
          <t>TV.DAUCAU</t>
        </is>
      </c>
    </row>
    <row r="552">
      <c r="A552" s="3" t="inlineStr">
        <is>
          <t>tv1-kntt-c09-q6</t>
        </is>
      </c>
      <c r="B552" s="3" t="inlineStr">
        <is>
          <t>Tiếng Việt</t>
        </is>
      </c>
      <c r="C552" s="3" t="inlineStr">
        <is>
          <t>Kết nối tri thức</t>
        </is>
      </c>
      <c r="D552" s="3" t="inlineStr">
        <is>
          <t>Tập hai · Ôn tập cuối năm</t>
        </is>
      </c>
      <c r="E552" s="3" t="inlineStr">
        <is>
          <t>Học kì 2 · Chủ đề 5–8 và ôn tập cuối năm</t>
        </is>
      </c>
      <c r="F552" s="3" t="inlineStr">
        <is>
          <t>Ôn tập cuối năm</t>
        </is>
      </c>
      <c r="G552" s="3" t="inlineStr">
        <is>
          <t>Đúng / Sai</t>
        </is>
      </c>
      <c r="H552" s="14" t="n">
        <v>3</v>
      </c>
      <c r="I552" s="3" t="inlineStr">
        <is>
          <t>Vận dụng</t>
        </is>
      </c>
      <c r="J552" s="3" t="inlineStr">
        <is>
          <t>Tên riêng "Lê Văn Nam" viết đúng chính tả. Đúng hay sai?</t>
        </is>
      </c>
      <c r="K552" s="3" t="inlineStr">
        <is>
          <t>A. Đúng | B. Sai</t>
        </is>
      </c>
      <c r="L552" s="3" t="inlineStr">
        <is>
          <t>A</t>
        </is>
      </c>
      <c r="M552" s="3" t="inlineStr">
        <is>
          <t>Mỗi tiếng của tên người đều viết hoa.</t>
        </is>
      </c>
      <c r="N552" s="3" t="inlineStr">
        <is>
          <t>Lê, Văn, Nam đều viết hoa chữ cái đầu. Câu đúng.</t>
        </is>
      </c>
      <c r="O552" s="14" t="n">
        <v>50</v>
      </c>
      <c r="P552" s="14">
        <f>INDEX(Khung_cap_do!$H$2:$H$6,H552)</f>
        <v/>
      </c>
      <c r="Q552" s="3" t="inlineStr">
        <is>
          <t>V1.VIET.03</t>
        </is>
      </c>
      <c r="R552" s="3" t="inlineStr">
        <is>
          <t>TV.CHINHTA</t>
        </is>
      </c>
    </row>
    <row r="553">
      <c r="A553" s="3" t="inlineStr">
        <is>
          <t>tv1-kntt-c09-q7</t>
        </is>
      </c>
      <c r="B553" s="3" t="inlineStr">
        <is>
          <t>Tiếng Việt</t>
        </is>
      </c>
      <c r="C553" s="3" t="inlineStr">
        <is>
          <t>Kết nối tri thức</t>
        </is>
      </c>
      <c r="D553" s="3" t="inlineStr">
        <is>
          <t>Tập hai · Ôn tập cuối năm</t>
        </is>
      </c>
      <c r="E553" s="3" t="inlineStr">
        <is>
          <t>Học kì 2 · Chủ đề 5–8 và ôn tập cuối năm</t>
        </is>
      </c>
      <c r="F553" s="3" t="inlineStr">
        <is>
          <t>Ôn tập cuối năm</t>
        </is>
      </c>
      <c r="G553" s="3" t="inlineStr">
        <is>
          <t>Sắp xếp</t>
        </is>
      </c>
      <c r="H553" s="14" t="n">
        <v>4</v>
      </c>
      <c r="I553" s="3" t="inlineStr">
        <is>
          <t>Thử thách</t>
        </is>
      </c>
      <c r="J553" s="3" t="inlineStr">
        <is>
          <t>Sắp xếp các từ ngữ thành câu đúng.</t>
        </is>
      </c>
      <c r="K553" s="3" t="inlineStr">
        <is>
          <t>Em / Việt Nam / quê hương / yêu</t>
        </is>
      </c>
      <c r="L553" s="3" t="inlineStr">
        <is>
          <t>Em → yêu → quê hương → Việt Nam</t>
        </is>
      </c>
      <c r="M553" s="3" t="inlineStr">
        <is>
          <t>Em yêu quê hương Việt Nam.</t>
        </is>
      </c>
      <c r="N553" s="3" t="inlineStr">
        <is>
          <t>Từ viết hoa "Em" đứng đầu câu: Em yêu quê hương Việt Nam.</t>
        </is>
      </c>
      <c r="O553" s="14" t="n">
        <v>75</v>
      </c>
      <c r="P553" s="14">
        <f>INDEX(Khung_cap_do!$H$2:$H$6,H553)</f>
        <v/>
      </c>
      <c r="Q553" s="3" t="inlineStr">
        <is>
          <t>V1.DOC.02</t>
        </is>
      </c>
      <c r="R553" s="3" t="inlineStr">
        <is>
          <t>TV.XEPCAU</t>
        </is>
      </c>
    </row>
    <row r="554">
      <c r="A554" s="3" t="inlineStr">
        <is>
          <t>tv1-kntt-c09-q8</t>
        </is>
      </c>
      <c r="B554" s="3" t="inlineStr">
        <is>
          <t>Tiếng Việt</t>
        </is>
      </c>
      <c r="C554" s="3" t="inlineStr">
        <is>
          <t>Kết nối tri thức</t>
        </is>
      </c>
      <c r="D554" s="3" t="inlineStr">
        <is>
          <t>Tập hai · Ôn tập cuối năm</t>
        </is>
      </c>
      <c r="E554" s="3" t="inlineStr">
        <is>
          <t>Học kì 2 · Chủ đề 5–8 và ôn tập cuối năm</t>
        </is>
      </c>
      <c r="F554" s="3" t="inlineStr">
        <is>
          <t>Ôn tập cuối năm</t>
        </is>
      </c>
      <c r="G554" s="3" t="inlineStr">
        <is>
          <t>Ghép cặp</t>
        </is>
      </c>
      <c r="H554" s="14" t="n">
        <v>5</v>
      </c>
      <c r="I554" s="3" t="inlineStr">
        <is>
          <t>Mở rộng</t>
        </is>
      </c>
      <c r="J554" s="3" t="inlineStr">
        <is>
          <t>Ghép từ với nhóm của nó.</t>
        </is>
      </c>
      <c r="K554" s="3" t="inlineStr">
        <is>
          <t>quét nhà ↔ ? / quả cam ↔ ? / đỏ tươi ↔ ?</t>
        </is>
      </c>
      <c r="L554" s="3" t="inlineStr">
        <is>
          <t>quét nhà – hoạt động; quả cam – sự vật; đỏ tươi – đặc điểm</t>
        </is>
      </c>
      <c r="M554" s="3" t="inlineStr">
        <is>
          <t>Quét nhà: hoạt động; quả cam: sự vật; đỏ tươi: đặc điểm.</t>
        </is>
      </c>
      <c r="N554" s="3" t="inlineStr">
        <is>
          <t>Việc làm là hoạt động, đồ vật/con vật/cây cối là sự vật, màu sắc/tính nết là đặc điểm.</t>
        </is>
      </c>
      <c r="O554" s="14" t="n">
        <v>90</v>
      </c>
      <c r="P554" s="14">
        <f>INDEX(Khung_cap_do!$H$2:$H$6,H554)</f>
        <v/>
      </c>
      <c r="Q554" s="3" t="inlineStr">
        <is>
          <t>V1.VIET.04</t>
        </is>
      </c>
      <c r="R554" s="3" t="inlineStr">
        <is>
          <t>TV.NOITU</t>
        </is>
      </c>
    </row>
    <row r="555">
      <c r="A555" s="3" t="inlineStr">
        <is>
          <t>ta1-gs-u01-q1</t>
        </is>
      </c>
      <c r="B555" s="3" t="inlineStr">
        <is>
          <t>Tiếng Anh</t>
        </is>
      </c>
      <c r="C555" s="3" t="inlineStr">
        <is>
          <t>Global Success</t>
        </is>
      </c>
      <c r="D555" s="3" t="inlineStr">
        <is>
          <t>Unit 1</t>
        </is>
      </c>
      <c r="E555" s="3" t="inlineStr">
        <is>
          <t>Unit 1–4 và Review 1</t>
        </is>
      </c>
      <c r="F555" s="3" t="inlineStr">
        <is>
          <t>Unit 1. In the school playground</t>
        </is>
      </c>
      <c r="G555" s="3" t="inlineStr">
        <is>
          <t>Chọn đáp án</t>
        </is>
      </c>
      <c r="H555" s="14" t="n">
        <v>1</v>
      </c>
      <c r="I555" s="3" t="inlineStr">
        <is>
          <t>Làm quen</t>
        </is>
      </c>
      <c r="J555" s="3" t="inlineStr">
        <is>
          <t>⚽ Đây là gì?</t>
        </is>
      </c>
      <c r="K555" s="3" t="inlineStr">
        <is>
          <t>A. ball | B. bike | C. book</t>
        </is>
      </c>
      <c r="L555" s="3" t="inlineStr">
        <is>
          <t>A</t>
        </is>
      </c>
      <c r="M555" s="3" t="inlineStr">
        <is>
          <t>"ball" là quả bóng.</t>
        </is>
      </c>
      <c r="N555" s="3" t="n"/>
      <c r="O555" s="14" t="n">
        <v>30</v>
      </c>
      <c r="P555" s="14">
        <f>INDEX(Khung_cap_do!$H$2:$H$6,H555)</f>
        <v/>
      </c>
      <c r="Q555" s="3" t="inlineStr">
        <is>
          <t>A1.EXTRA.01</t>
        </is>
      </c>
      <c r="R555" s="3" t="inlineStr">
        <is>
          <t>TA.TUVUNG</t>
        </is>
      </c>
    </row>
    <row r="556">
      <c r="A556" s="3" t="inlineStr">
        <is>
          <t>ta1-gs-u01-q2</t>
        </is>
      </c>
      <c r="B556" s="3" t="inlineStr">
        <is>
          <t>Tiếng Anh</t>
        </is>
      </c>
      <c r="C556" s="3" t="inlineStr">
        <is>
          <t>Global Success</t>
        </is>
      </c>
      <c r="D556" s="3" t="inlineStr">
        <is>
          <t>Unit 1</t>
        </is>
      </c>
      <c r="E556" s="3" t="inlineStr">
        <is>
          <t>Unit 1–4 và Review 1</t>
        </is>
      </c>
      <c r="F556" s="3" t="inlineStr">
        <is>
          <t>Unit 1. In the school playground</t>
        </is>
      </c>
      <c r="G556" s="3" t="inlineStr">
        <is>
          <t>Chọn đáp án</t>
        </is>
      </c>
      <c r="H556" s="14" t="n">
        <v>1</v>
      </c>
      <c r="I556" s="3" t="inlineStr">
        <is>
          <t>Làm quen</t>
        </is>
      </c>
      <c r="J556" s="3" t="inlineStr">
        <is>
          <t>🚲 Đây là gì?</t>
        </is>
      </c>
      <c r="K556" s="3" t="inlineStr">
        <is>
          <t>A. bike | B. ball | C. book</t>
        </is>
      </c>
      <c r="L556" s="3" t="inlineStr">
        <is>
          <t>A</t>
        </is>
      </c>
      <c r="M556" s="3" t="inlineStr">
        <is>
          <t>"bike" là xe đạp.</t>
        </is>
      </c>
      <c r="N556" s="3" t="n"/>
      <c r="O556" s="14" t="n">
        <v>30</v>
      </c>
      <c r="P556" s="14">
        <f>INDEX(Khung_cap_do!$H$2:$H$6,H556)</f>
        <v/>
      </c>
      <c r="Q556" s="3" t="inlineStr">
        <is>
          <t>A1.EXTRA.01</t>
        </is>
      </c>
      <c r="R556" s="3" t="inlineStr">
        <is>
          <t>TA.TUVUNG</t>
        </is>
      </c>
    </row>
    <row r="557">
      <c r="A557" s="3" t="inlineStr">
        <is>
          <t>ta1-gs-u01-q3</t>
        </is>
      </c>
      <c r="B557" s="3" t="inlineStr">
        <is>
          <t>Tiếng Anh</t>
        </is>
      </c>
      <c r="C557" s="3" t="inlineStr">
        <is>
          <t>Global Success</t>
        </is>
      </c>
      <c r="D557" s="3" t="inlineStr">
        <is>
          <t>Unit 1</t>
        </is>
      </c>
      <c r="E557" s="3" t="inlineStr">
        <is>
          <t>Unit 1–4 và Review 1</t>
        </is>
      </c>
      <c r="F557" s="3" t="inlineStr">
        <is>
          <t>Unit 1. In the school playground</t>
        </is>
      </c>
      <c r="G557" s="3" t="inlineStr">
        <is>
          <t>Chọn đáp án</t>
        </is>
      </c>
      <c r="H557" s="14" t="n">
        <v>1</v>
      </c>
      <c r="I557" s="3" t="inlineStr">
        <is>
          <t>Làm quen</t>
        </is>
      </c>
      <c r="J557" s="3" t="inlineStr">
        <is>
          <t>📖 Đây là gì?</t>
        </is>
      </c>
      <c r="K557" s="3" t="inlineStr">
        <is>
          <t>A. book | B. ball | C. bike</t>
        </is>
      </c>
      <c r="L557" s="3" t="inlineStr">
        <is>
          <t>A</t>
        </is>
      </c>
      <c r="M557" s="3" t="inlineStr">
        <is>
          <t>"book" là quyển sách.</t>
        </is>
      </c>
      <c r="N557" s="3" t="n"/>
      <c r="O557" s="14" t="n">
        <v>30</v>
      </c>
      <c r="P557" s="14">
        <f>INDEX(Khung_cap_do!$H$2:$H$6,H557)</f>
        <v/>
      </c>
      <c r="Q557" s="3" t="inlineStr">
        <is>
          <t>A1.SCHOOL.01</t>
        </is>
      </c>
      <c r="R557" s="3" t="inlineStr">
        <is>
          <t>TA.TUVUNG</t>
        </is>
      </c>
    </row>
    <row r="558">
      <c r="A558" s="3" t="inlineStr">
        <is>
          <t>ta1-gs-u01-q4</t>
        </is>
      </c>
      <c r="B558" s="3" t="inlineStr">
        <is>
          <t>Tiếng Anh</t>
        </is>
      </c>
      <c r="C558" s="3" t="inlineStr">
        <is>
          <t>Global Success</t>
        </is>
      </c>
      <c r="D558" s="3" t="inlineStr">
        <is>
          <t>Unit 1</t>
        </is>
      </c>
      <c r="E558" s="3" t="inlineStr">
        <is>
          <t>Unit 1–4 và Review 1</t>
        </is>
      </c>
      <c r="F558" s="3" t="inlineStr">
        <is>
          <t>Unit 1. In the school playground</t>
        </is>
      </c>
      <c r="G558" s="3" t="inlineStr">
        <is>
          <t>Ghép cặp</t>
        </is>
      </c>
      <c r="H558" s="14" t="n">
        <v>2</v>
      </c>
      <c r="I558" s="3" t="inlineStr">
        <is>
          <t>Cơ bản</t>
        </is>
      </c>
      <c r="J558" s="3" t="inlineStr">
        <is>
          <t>Ghép từ tiếng Anh với nghĩa</t>
        </is>
      </c>
      <c r="K558" s="3" t="inlineStr">
        <is>
          <t>ball ↔ ? / bike ↔ ? / book ↔ ?</t>
        </is>
      </c>
      <c r="L558" s="3" t="inlineStr">
        <is>
          <t>ball – quả bóng; bike – xe đạp; book – quyển sách</t>
        </is>
      </c>
      <c r="M558" s="3" t="inlineStr">
        <is>
          <t>ball – quả bóng; bike – xe đạp; book – quyển sách.</t>
        </is>
      </c>
      <c r="N558" s="3" t="n"/>
      <c r="O558" s="14" t="n">
        <v>55</v>
      </c>
      <c r="P558" s="14">
        <f>INDEX(Khung_cap_do!$H$2:$H$6,H558)</f>
        <v/>
      </c>
      <c r="Q558" s="3" t="inlineStr">
        <is>
          <t>A1.SCHOOL.01</t>
        </is>
      </c>
      <c r="R558" s="3" t="inlineStr">
        <is>
          <t>TA.NOINGHIA</t>
        </is>
      </c>
    </row>
    <row r="559">
      <c r="A559" s="3" t="inlineStr">
        <is>
          <t>ta1-gs-u01-q5</t>
        </is>
      </c>
      <c r="B559" s="3" t="inlineStr">
        <is>
          <t>Tiếng Anh</t>
        </is>
      </c>
      <c r="C559" s="3" t="inlineStr">
        <is>
          <t>Global Success</t>
        </is>
      </c>
      <c r="D559" s="3" t="inlineStr">
        <is>
          <t>Unit 1</t>
        </is>
      </c>
      <c r="E559" s="3" t="inlineStr">
        <is>
          <t>Unit 1–4 và Review 1</t>
        </is>
      </c>
      <c r="F559" s="3" t="inlineStr">
        <is>
          <t>Unit 1. In the school playground</t>
        </is>
      </c>
      <c r="G559" s="3" t="inlineStr">
        <is>
          <t>Chọn đáp án</t>
        </is>
      </c>
      <c r="H559" s="14" t="n">
        <v>2</v>
      </c>
      <c r="I559" s="3" t="inlineStr">
        <is>
          <t>Cơ bản</t>
        </is>
      </c>
      <c r="J559" s="3" t="inlineStr">
        <is>
          <t>Từ "ball" bắt đầu bằng chữ cái nào?</t>
        </is>
      </c>
      <c r="K559" s="3" t="inlineStr">
        <is>
          <t>A. b | B. d | C. p</t>
        </is>
      </c>
      <c r="L559" s="3" t="inlineStr">
        <is>
          <t>A</t>
        </is>
      </c>
      <c r="M559" s="3" t="inlineStr">
        <is>
          <t>"ball" bắt đầu bằng chữ b, đọc là /b/.</t>
        </is>
      </c>
      <c r="N559" s="3" t="n"/>
      <c r="O559" s="14" t="n">
        <v>40</v>
      </c>
      <c r="P559" s="14">
        <f>INDEX(Khung_cap_do!$H$2:$H$6,H559)</f>
        <v/>
      </c>
      <c r="Q559" s="3" t="inlineStr">
        <is>
          <t>A1.ABC.02</t>
        </is>
      </c>
      <c r="R559" s="3" t="inlineStr">
        <is>
          <t>TA.CHUCAI</t>
        </is>
      </c>
    </row>
    <row r="560">
      <c r="A560" s="3" t="inlineStr">
        <is>
          <t>ta1-gs-u01-q6</t>
        </is>
      </c>
      <c r="B560" s="3" t="inlineStr">
        <is>
          <t>Tiếng Anh</t>
        </is>
      </c>
      <c r="C560" s="3" t="inlineStr">
        <is>
          <t>Global Success</t>
        </is>
      </c>
      <c r="D560" s="3" t="inlineStr">
        <is>
          <t>Unit 1</t>
        </is>
      </c>
      <c r="E560" s="3" t="inlineStr">
        <is>
          <t>Unit 1–4 và Review 1</t>
        </is>
      </c>
      <c r="F560" s="3" t="inlineStr">
        <is>
          <t>Unit 1. In the school playground</t>
        </is>
      </c>
      <c r="G560" s="3" t="inlineStr">
        <is>
          <t>Điền đáp án</t>
        </is>
      </c>
      <c r="H560" s="14" t="n">
        <v>2</v>
      </c>
      <c r="I560" s="3" t="inlineStr">
        <is>
          <t>Cơ bản</t>
        </is>
      </c>
      <c r="J560" s="3" t="inlineStr">
        <is>
          <t>Điền chữ cái còn thiếu: _ook (📖 quyển sách)</t>
        </is>
      </c>
      <c r="K560" s="3" t="inlineStr"/>
      <c r="L560" s="3" t="inlineStr">
        <is>
          <t>b / book</t>
        </is>
      </c>
      <c r="M560" s="3" t="inlineStr">
        <is>
          <t>b + ook = book.</t>
        </is>
      </c>
      <c r="N560" s="3" t="n"/>
      <c r="O560" s="14" t="n">
        <v>50</v>
      </c>
      <c r="P560" s="14">
        <f>INDEX(Khung_cap_do!$H$2:$H$6,H560)</f>
        <v/>
      </c>
      <c r="Q560" s="3" t="inlineStr">
        <is>
          <t>A1.ABC.02</t>
        </is>
      </c>
      <c r="R560" s="3" t="inlineStr">
        <is>
          <t>TA.CHUCAI</t>
        </is>
      </c>
    </row>
    <row r="561">
      <c r="A561" s="3" t="inlineStr">
        <is>
          <t>ta1-gs-u01-q7</t>
        </is>
      </c>
      <c r="B561" s="3" t="inlineStr">
        <is>
          <t>Tiếng Anh</t>
        </is>
      </c>
      <c r="C561" s="3" t="inlineStr">
        <is>
          <t>Global Success</t>
        </is>
      </c>
      <c r="D561" s="3" t="inlineStr">
        <is>
          <t>Unit 1</t>
        </is>
      </c>
      <c r="E561" s="3" t="inlineStr">
        <is>
          <t>Unit 1–4 và Review 1</t>
        </is>
      </c>
      <c r="F561" s="3" t="inlineStr">
        <is>
          <t>Unit 1. In the school playground</t>
        </is>
      </c>
      <c r="G561" s="3" t="inlineStr">
        <is>
          <t>Chọn đáp án</t>
        </is>
      </c>
      <c r="H561" s="14" t="n">
        <v>2</v>
      </c>
      <c r="I561" s="3" t="inlineStr">
        <is>
          <t>Cơ bản</t>
        </is>
      </c>
      <c r="J561" s="3" t="inlineStr">
        <is>
          <t>Buổi sáng gặp bạn, em chào thế nào?</t>
        </is>
      </c>
      <c r="K561" s="3" t="inlineStr">
        <is>
          <t>A. Hello! | B. Goodbye!</t>
        </is>
      </c>
      <c r="L561" s="3" t="inlineStr">
        <is>
          <t>A</t>
        </is>
      </c>
      <c r="M561" s="3" t="inlineStr">
        <is>
          <t>Gặp nhau nói "Hello!", chia tay nói "Goodbye!".</t>
        </is>
      </c>
      <c r="N561" s="3" t="n"/>
      <c r="O561" s="14" t="n">
        <v>40</v>
      </c>
      <c r="P561" s="14">
        <f>INDEX(Khung_cap_do!$H$2:$H$6,H561)</f>
        <v/>
      </c>
      <c r="Q561" s="3" t="inlineStr">
        <is>
          <t>A1.HELLO.01</t>
        </is>
      </c>
      <c r="R561" s="3" t="inlineStr">
        <is>
          <t>TA.MAUCAU</t>
        </is>
      </c>
    </row>
    <row r="562">
      <c r="A562" s="3" t="inlineStr">
        <is>
          <t>ta1-gs-u01-q8</t>
        </is>
      </c>
      <c r="B562" s="3" t="inlineStr">
        <is>
          <t>Tiếng Anh</t>
        </is>
      </c>
      <c r="C562" s="3" t="inlineStr">
        <is>
          <t>Global Success</t>
        </is>
      </c>
      <c r="D562" s="3" t="inlineStr">
        <is>
          <t>Unit 1</t>
        </is>
      </c>
      <c r="E562" s="3" t="inlineStr">
        <is>
          <t>Unit 1–4 và Review 1</t>
        </is>
      </c>
      <c r="F562" s="3" t="inlineStr">
        <is>
          <t>Unit 1. In the school playground</t>
        </is>
      </c>
      <c r="G562" s="3" t="inlineStr">
        <is>
          <t>Chọn đáp án</t>
        </is>
      </c>
      <c r="H562" s="14" t="n">
        <v>3</v>
      </c>
      <c r="I562" s="3" t="inlineStr">
        <is>
          <t>Vận dụng</t>
        </is>
      </c>
      <c r="J562" s="3" t="inlineStr">
        <is>
          <t>Bạn nhỏ nói: "Hello, I'm Bill." Bạn ấy tên là gì?</t>
        </is>
      </c>
      <c r="K562" s="3" t="inlineStr">
        <is>
          <t>A. Bill | B. Ball | C. Bike</t>
        </is>
      </c>
      <c r="L562" s="3" t="inlineStr">
        <is>
          <t>A</t>
        </is>
      </c>
      <c r="M562" s="3" t="inlineStr">
        <is>
          <t>"I'm Bill" nghĩa là "Mình là Bill".</t>
        </is>
      </c>
      <c r="N562" s="3" t="inlineStr">
        <is>
          <t>"Hello" là lời chào. "I'm" nghĩa là "mình là". Từ đứng sau "I'm" là tên: Bill.</t>
        </is>
      </c>
      <c r="O562" s="14" t="n">
        <v>50</v>
      </c>
      <c r="P562" s="14">
        <f>INDEX(Khung_cap_do!$H$2:$H$6,H562)</f>
        <v/>
      </c>
      <c r="Q562" s="3" t="inlineStr">
        <is>
          <t>A1.HELLO.01</t>
        </is>
      </c>
      <c r="R562" s="3" t="inlineStr">
        <is>
          <t>TA.MAUCAU</t>
        </is>
      </c>
    </row>
    <row r="563">
      <c r="A563" s="3" t="inlineStr">
        <is>
          <t>ta1-gs-u02-q1</t>
        </is>
      </c>
      <c r="B563" s="3" t="inlineStr">
        <is>
          <t>Tiếng Anh</t>
        </is>
      </c>
      <c r="C563" s="3" t="inlineStr">
        <is>
          <t>Global Success</t>
        </is>
      </c>
      <c r="D563" s="3" t="inlineStr">
        <is>
          <t>Unit 2</t>
        </is>
      </c>
      <c r="E563" s="3" t="inlineStr">
        <is>
          <t>Unit 1–4 và Review 1</t>
        </is>
      </c>
      <c r="F563" s="3" t="inlineStr">
        <is>
          <t>Unit 2. In the dining room</t>
        </is>
      </c>
      <c r="G563" s="3" t="inlineStr">
        <is>
          <t>Chọn đáp án</t>
        </is>
      </c>
      <c r="H563" s="14" t="n">
        <v>1</v>
      </c>
      <c r="I563" s="3" t="inlineStr">
        <is>
          <t>Làm quen</t>
        </is>
      </c>
      <c r="J563" s="3" t="inlineStr">
        <is>
          <t>🐱 Đây là gì?</t>
        </is>
      </c>
      <c r="K563" s="3" t="inlineStr">
        <is>
          <t>A. cat | B. car | C. cup</t>
        </is>
      </c>
      <c r="L563" s="3" t="inlineStr">
        <is>
          <t>A</t>
        </is>
      </c>
      <c r="M563" s="3" t="inlineStr">
        <is>
          <t>"cat" là con mèo.</t>
        </is>
      </c>
      <c r="N563" s="3" t="n"/>
      <c r="O563" s="14" t="n">
        <v>30</v>
      </c>
      <c r="P563" s="14">
        <f>INDEX(Khung_cap_do!$H$2:$H$6,H563)</f>
        <v/>
      </c>
      <c r="Q563" s="3" t="inlineStr">
        <is>
          <t>A1.ANIMAL.01</t>
        </is>
      </c>
      <c r="R563" s="3" t="inlineStr">
        <is>
          <t>TA.TUVUNG</t>
        </is>
      </c>
    </row>
    <row r="564">
      <c r="A564" s="3" t="inlineStr">
        <is>
          <t>ta1-gs-u02-q2</t>
        </is>
      </c>
      <c r="B564" s="3" t="inlineStr">
        <is>
          <t>Tiếng Anh</t>
        </is>
      </c>
      <c r="C564" s="3" t="inlineStr">
        <is>
          <t>Global Success</t>
        </is>
      </c>
      <c r="D564" s="3" t="inlineStr">
        <is>
          <t>Unit 2</t>
        </is>
      </c>
      <c r="E564" s="3" t="inlineStr">
        <is>
          <t>Unit 1–4 và Review 1</t>
        </is>
      </c>
      <c r="F564" s="3" t="inlineStr">
        <is>
          <t>Unit 2. In the dining room</t>
        </is>
      </c>
      <c r="G564" s="3" t="inlineStr">
        <is>
          <t>Chọn đáp án</t>
        </is>
      </c>
      <c r="H564" s="14" t="n">
        <v>1</v>
      </c>
      <c r="I564" s="3" t="inlineStr">
        <is>
          <t>Làm quen</t>
        </is>
      </c>
      <c r="J564" s="3" t="inlineStr">
        <is>
          <t>🚗 Đây là gì?</t>
        </is>
      </c>
      <c r="K564" s="3" t="inlineStr">
        <is>
          <t>A. car | B. cake | C. cat</t>
        </is>
      </c>
      <c r="L564" s="3" t="inlineStr">
        <is>
          <t>A</t>
        </is>
      </c>
      <c r="M564" s="3" t="inlineStr">
        <is>
          <t>"car" là ô tô.</t>
        </is>
      </c>
      <c r="N564" s="3" t="n"/>
      <c r="O564" s="14" t="n">
        <v>30</v>
      </c>
      <c r="P564" s="14">
        <f>INDEX(Khung_cap_do!$H$2:$H$6,H564)</f>
        <v/>
      </c>
      <c r="Q564" s="3" t="inlineStr">
        <is>
          <t>A1.EXTRA.01</t>
        </is>
      </c>
      <c r="R564" s="3" t="inlineStr">
        <is>
          <t>TA.TUVUNG</t>
        </is>
      </c>
    </row>
    <row r="565">
      <c r="A565" s="3" t="inlineStr">
        <is>
          <t>ta1-gs-u02-q3</t>
        </is>
      </c>
      <c r="B565" s="3" t="inlineStr">
        <is>
          <t>Tiếng Anh</t>
        </is>
      </c>
      <c r="C565" s="3" t="inlineStr">
        <is>
          <t>Global Success</t>
        </is>
      </c>
      <c r="D565" s="3" t="inlineStr">
        <is>
          <t>Unit 2</t>
        </is>
      </c>
      <c r="E565" s="3" t="inlineStr">
        <is>
          <t>Unit 1–4 và Review 1</t>
        </is>
      </c>
      <c r="F565" s="3" t="inlineStr">
        <is>
          <t>Unit 2. In the dining room</t>
        </is>
      </c>
      <c r="G565" s="3" t="inlineStr">
        <is>
          <t>Chọn đáp án</t>
        </is>
      </c>
      <c r="H565" s="14" t="n">
        <v>1</v>
      </c>
      <c r="I565" s="3" t="inlineStr">
        <is>
          <t>Làm quen</t>
        </is>
      </c>
      <c r="J565" s="3" t="inlineStr">
        <is>
          <t>🎂 Đây là gì?</t>
        </is>
      </c>
      <c r="K565" s="3" t="inlineStr">
        <is>
          <t>A. cake | B. cup | C. book</t>
        </is>
      </c>
      <c r="L565" s="3" t="inlineStr">
        <is>
          <t>A</t>
        </is>
      </c>
      <c r="M565" s="3" t="inlineStr">
        <is>
          <t>"cake" là bánh ngọt.</t>
        </is>
      </c>
      <c r="N565" s="3" t="n"/>
      <c r="O565" s="14" t="n">
        <v>30</v>
      </c>
      <c r="P565" s="14">
        <f>INDEX(Khung_cap_do!$H$2:$H$6,H565)</f>
        <v/>
      </c>
      <c r="Q565" s="3" t="inlineStr">
        <is>
          <t>A1.EXTRA.02</t>
        </is>
      </c>
      <c r="R565" s="3" t="inlineStr">
        <is>
          <t>TA.TUVUNG</t>
        </is>
      </c>
    </row>
    <row r="566">
      <c r="A566" s="3" t="inlineStr">
        <is>
          <t>ta1-gs-u02-q4</t>
        </is>
      </c>
      <c r="B566" s="3" t="inlineStr">
        <is>
          <t>Tiếng Anh</t>
        </is>
      </c>
      <c r="C566" s="3" t="inlineStr">
        <is>
          <t>Global Success</t>
        </is>
      </c>
      <c r="D566" s="3" t="inlineStr">
        <is>
          <t>Unit 2</t>
        </is>
      </c>
      <c r="E566" s="3" t="inlineStr">
        <is>
          <t>Unit 1–4 và Review 1</t>
        </is>
      </c>
      <c r="F566" s="3" t="inlineStr">
        <is>
          <t>Unit 2. In the dining room</t>
        </is>
      </c>
      <c r="G566" s="3" t="inlineStr">
        <is>
          <t>Ghép cặp</t>
        </is>
      </c>
      <c r="H566" s="14" t="n">
        <v>2</v>
      </c>
      <c r="I566" s="3" t="inlineStr">
        <is>
          <t>Cơ bản</t>
        </is>
      </c>
      <c r="J566" s="3" t="inlineStr">
        <is>
          <t>Ghép từ tiếng Anh với nghĩa</t>
        </is>
      </c>
      <c r="K566" s="3" t="inlineStr">
        <is>
          <t>cup ↔ ? / cake ↔ ? / cat ↔ ?</t>
        </is>
      </c>
      <c r="L566" s="3" t="inlineStr">
        <is>
          <t>cup – cái cốc; cake – bánh ngọt; cat – con mèo</t>
        </is>
      </c>
      <c r="M566" s="3" t="inlineStr">
        <is>
          <t>cup – cái cốc; cake – bánh ngọt; cat – con mèo.</t>
        </is>
      </c>
      <c r="N566" s="3" t="n"/>
      <c r="O566" s="14" t="n">
        <v>55</v>
      </c>
      <c r="P566" s="14">
        <f>INDEX(Khung_cap_do!$H$2:$H$6,H566)</f>
        <v/>
      </c>
      <c r="Q566" s="3" t="inlineStr">
        <is>
          <t>A1.EXTRA.02</t>
        </is>
      </c>
      <c r="R566" s="3" t="inlineStr">
        <is>
          <t>TA.NOINGHIA</t>
        </is>
      </c>
    </row>
    <row r="567">
      <c r="A567" s="3" t="inlineStr">
        <is>
          <t>ta1-gs-u02-q5</t>
        </is>
      </c>
      <c r="B567" s="3" t="inlineStr">
        <is>
          <t>Tiếng Anh</t>
        </is>
      </c>
      <c r="C567" s="3" t="inlineStr">
        <is>
          <t>Global Success</t>
        </is>
      </c>
      <c r="D567" s="3" t="inlineStr">
        <is>
          <t>Unit 2</t>
        </is>
      </c>
      <c r="E567" s="3" t="inlineStr">
        <is>
          <t>Unit 1–4 và Review 1</t>
        </is>
      </c>
      <c r="F567" s="3" t="inlineStr">
        <is>
          <t>Unit 2. In the dining room</t>
        </is>
      </c>
      <c r="G567" s="3" t="inlineStr">
        <is>
          <t>Chọn nhiều đáp án</t>
        </is>
      </c>
      <c r="H567" s="14" t="n">
        <v>2</v>
      </c>
      <c r="I567" s="3" t="inlineStr">
        <is>
          <t>Cơ bản</t>
        </is>
      </c>
      <c r="J567" s="3" t="inlineStr">
        <is>
          <t>Chọn TẤT CẢ các từ bắt đầu bằng chữ c</t>
        </is>
      </c>
      <c r="K567" s="3" t="inlineStr">
        <is>
          <t>A. cat | B. ball | C. cup | D. bike | E. car</t>
        </is>
      </c>
      <c r="L567" s="3" t="inlineStr">
        <is>
          <t>A, C, E</t>
        </is>
      </c>
      <c r="M567" s="3" t="inlineStr">
        <is>
          <t>cat, cup, car bắt đầu bằng c; ball, bike bắt đầu bằng b.</t>
        </is>
      </c>
      <c r="N567" s="3" t="n"/>
      <c r="O567" s="14" t="n">
        <v>50</v>
      </c>
      <c r="P567" s="14">
        <f>INDEX(Khung_cap_do!$H$2:$H$6,H567)</f>
        <v/>
      </c>
      <c r="Q567" s="3" t="inlineStr">
        <is>
          <t>A1.ABC.02</t>
        </is>
      </c>
      <c r="R567" s="3" t="inlineStr">
        <is>
          <t>TA.NHOMTU</t>
        </is>
      </c>
    </row>
    <row r="568">
      <c r="A568" s="3" t="inlineStr">
        <is>
          <t>ta1-gs-u02-q6</t>
        </is>
      </c>
      <c r="B568" s="3" t="inlineStr">
        <is>
          <t>Tiếng Anh</t>
        </is>
      </c>
      <c r="C568" s="3" t="inlineStr">
        <is>
          <t>Global Success</t>
        </is>
      </c>
      <c r="D568" s="3" t="inlineStr">
        <is>
          <t>Unit 2</t>
        </is>
      </c>
      <c r="E568" s="3" t="inlineStr">
        <is>
          <t>Unit 1–4 và Review 1</t>
        </is>
      </c>
      <c r="F568" s="3" t="inlineStr">
        <is>
          <t>Unit 2. In the dining room</t>
        </is>
      </c>
      <c r="G568" s="3" t="inlineStr">
        <is>
          <t>Điền đáp án</t>
        </is>
      </c>
      <c r="H568" s="14" t="n">
        <v>2</v>
      </c>
      <c r="I568" s="3" t="inlineStr">
        <is>
          <t>Cơ bản</t>
        </is>
      </c>
      <c r="J568" s="3" t="inlineStr">
        <is>
          <t>Điền chữ cái còn thiếu: _at (🐱 con mèo)</t>
        </is>
      </c>
      <c r="K568" s="3" t="inlineStr"/>
      <c r="L568" s="3" t="inlineStr">
        <is>
          <t>c / cat</t>
        </is>
      </c>
      <c r="M568" s="3" t="inlineStr">
        <is>
          <t>c + at = cat.</t>
        </is>
      </c>
      <c r="N568" s="3" t="n"/>
      <c r="O568" s="14" t="n">
        <v>50</v>
      </c>
      <c r="P568" s="14">
        <f>INDEX(Khung_cap_do!$H$2:$H$6,H568)</f>
        <v/>
      </c>
      <c r="Q568" s="3" t="inlineStr">
        <is>
          <t>A1.ABC.02</t>
        </is>
      </c>
      <c r="R568" s="3" t="inlineStr">
        <is>
          <t>TA.CHUCAI</t>
        </is>
      </c>
    </row>
    <row r="569">
      <c r="A569" s="3" t="inlineStr">
        <is>
          <t>ta1-gs-u02-q7</t>
        </is>
      </c>
      <c r="B569" s="3" t="inlineStr">
        <is>
          <t>Tiếng Anh</t>
        </is>
      </c>
      <c r="C569" s="3" t="inlineStr">
        <is>
          <t>Global Success</t>
        </is>
      </c>
      <c r="D569" s="3" t="inlineStr">
        <is>
          <t>Unit 2</t>
        </is>
      </c>
      <c r="E569" s="3" t="inlineStr">
        <is>
          <t>Unit 1–4 và Review 1</t>
        </is>
      </c>
      <c r="F569" s="3" t="inlineStr">
        <is>
          <t>Unit 2. In the dining room</t>
        </is>
      </c>
      <c r="G569" s="3" t="inlineStr">
        <is>
          <t>Đúng / Sai</t>
        </is>
      </c>
      <c r="H569" s="14" t="n">
        <v>1</v>
      </c>
      <c r="I569" s="3" t="inlineStr">
        <is>
          <t>Làm quen</t>
        </is>
      </c>
      <c r="J569" s="3" t="inlineStr">
        <is>
          <t>"cup" nghĩa là cái cốc. Đúng hay sai?</t>
        </is>
      </c>
      <c r="K569" s="3" t="inlineStr">
        <is>
          <t>A. Đúng | B. Sai</t>
        </is>
      </c>
      <c r="L569" s="3" t="inlineStr">
        <is>
          <t>A</t>
        </is>
      </c>
      <c r="M569" s="3" t="inlineStr">
        <is>
          <t>Đúng, "cup" là cái cốc.</t>
        </is>
      </c>
      <c r="N569" s="3" t="n"/>
      <c r="O569" s="14" t="n">
        <v>30</v>
      </c>
      <c r="P569" s="14">
        <f>INDEX(Khung_cap_do!$H$2:$H$6,H569)</f>
        <v/>
      </c>
      <c r="Q569" s="3" t="inlineStr">
        <is>
          <t>A1.EXTRA.02</t>
        </is>
      </c>
      <c r="R569" s="3" t="inlineStr">
        <is>
          <t>TA.TUVUNG</t>
        </is>
      </c>
    </row>
    <row r="570">
      <c r="A570" s="3" t="inlineStr">
        <is>
          <t>ta1-gs-u02-q8</t>
        </is>
      </c>
      <c r="B570" s="3" t="inlineStr">
        <is>
          <t>Tiếng Anh</t>
        </is>
      </c>
      <c r="C570" s="3" t="inlineStr">
        <is>
          <t>Global Success</t>
        </is>
      </c>
      <c r="D570" s="3" t="inlineStr">
        <is>
          <t>Unit 2</t>
        </is>
      </c>
      <c r="E570" s="3" t="inlineStr">
        <is>
          <t>Unit 1–4 và Review 1</t>
        </is>
      </c>
      <c r="F570" s="3" t="inlineStr">
        <is>
          <t>Unit 2. In the dining room</t>
        </is>
      </c>
      <c r="G570" s="3" t="inlineStr">
        <is>
          <t>Chọn đáp án</t>
        </is>
      </c>
      <c r="H570" s="14" t="n">
        <v>3</v>
      </c>
      <c r="I570" s="3" t="inlineStr">
        <is>
          <t>Vận dụng</t>
        </is>
      </c>
      <c r="J570" s="3" t="inlineStr">
        <is>
          <t>Con vật nào kêu "meo meo"?</t>
        </is>
      </c>
      <c r="K570" s="3" t="inlineStr">
        <is>
          <t>A. cat | B. car | C. cup</t>
        </is>
      </c>
      <c r="L570" s="3" t="inlineStr">
        <is>
          <t>A</t>
        </is>
      </c>
      <c r="M570" s="3" t="inlineStr">
        <is>
          <t>Con mèo kêu meo meo, tiếng Anh là "cat".</t>
        </is>
      </c>
      <c r="N570" s="3" t="inlineStr">
        <is>
          <t>Con mèo kêu meo meo. Con mèo tiếng Anh là "cat". "car" là ô tô, "cup" là cái cốc.</t>
        </is>
      </c>
      <c r="O570" s="14" t="n">
        <v>50</v>
      </c>
      <c r="P570" s="14">
        <f>INDEX(Khung_cap_do!$H$2:$H$6,H570)</f>
        <v/>
      </c>
      <c r="Q570" s="3" t="inlineStr">
        <is>
          <t>A1.ANIMAL.01</t>
        </is>
      </c>
      <c r="R570" s="3" t="inlineStr">
        <is>
          <t>TA.TUVUNG</t>
        </is>
      </c>
    </row>
    <row r="571">
      <c r="A571" s="3" t="inlineStr">
        <is>
          <t>ta1-gs-u03-q1</t>
        </is>
      </c>
      <c r="B571" s="3" t="inlineStr">
        <is>
          <t>Tiếng Anh</t>
        </is>
      </c>
      <c r="C571" s="3" t="inlineStr">
        <is>
          <t>Global Success</t>
        </is>
      </c>
      <c r="D571" s="3" t="inlineStr">
        <is>
          <t>Unit 3</t>
        </is>
      </c>
      <c r="E571" s="3" t="inlineStr">
        <is>
          <t>Unit 1–4 và Review 1</t>
        </is>
      </c>
      <c r="F571" s="3" t="inlineStr">
        <is>
          <t>Unit 3. At the street market</t>
        </is>
      </c>
      <c r="G571" s="3" t="inlineStr">
        <is>
          <t>Chọn đáp án</t>
        </is>
      </c>
      <c r="H571" s="14" t="n">
        <v>1</v>
      </c>
      <c r="I571" s="3" t="inlineStr">
        <is>
          <t>Làm quen</t>
        </is>
      </c>
      <c r="J571" s="3" t="inlineStr">
        <is>
          <t>🍎 Đây là gì?</t>
        </is>
      </c>
      <c r="K571" s="3" t="inlineStr">
        <is>
          <t>A. apple | B. bag | C. hat</t>
        </is>
      </c>
      <c r="L571" s="3" t="inlineStr">
        <is>
          <t>A</t>
        </is>
      </c>
      <c r="M571" s="3" t="inlineStr">
        <is>
          <t>"apple" là quả táo.</t>
        </is>
      </c>
      <c r="N571" s="3" t="n"/>
      <c r="O571" s="14" t="n">
        <v>30</v>
      </c>
      <c r="P571" s="14">
        <f>INDEX(Khung_cap_do!$H$2:$H$6,H571)</f>
        <v/>
      </c>
      <c r="Q571" s="3" t="inlineStr">
        <is>
          <t>A1.EXTRA.02</t>
        </is>
      </c>
      <c r="R571" s="3" t="inlineStr">
        <is>
          <t>TA.TUVUNG</t>
        </is>
      </c>
    </row>
    <row r="572">
      <c r="A572" s="3" t="inlineStr">
        <is>
          <t>ta1-gs-u03-q2</t>
        </is>
      </c>
      <c r="B572" s="3" t="inlineStr">
        <is>
          <t>Tiếng Anh</t>
        </is>
      </c>
      <c r="C572" s="3" t="inlineStr">
        <is>
          <t>Global Success</t>
        </is>
      </c>
      <c r="D572" s="3" t="inlineStr">
        <is>
          <t>Unit 3</t>
        </is>
      </c>
      <c r="E572" s="3" t="inlineStr">
        <is>
          <t>Unit 1–4 và Review 1</t>
        </is>
      </c>
      <c r="F572" s="3" t="inlineStr">
        <is>
          <t>Unit 3. At the street market</t>
        </is>
      </c>
      <c r="G572" s="3" t="inlineStr">
        <is>
          <t>Chọn đáp án</t>
        </is>
      </c>
      <c r="H572" s="14" t="n">
        <v>1</v>
      </c>
      <c r="I572" s="3" t="inlineStr">
        <is>
          <t>Làm quen</t>
        </is>
      </c>
      <c r="J572" s="3" t="inlineStr">
        <is>
          <t>🎒 Đây là gì?</t>
        </is>
      </c>
      <c r="K572" s="3" t="inlineStr">
        <is>
          <t>A. bag | B. hat | C. can</t>
        </is>
      </c>
      <c r="L572" s="3" t="inlineStr">
        <is>
          <t>A</t>
        </is>
      </c>
      <c r="M572" s="3" t="inlineStr">
        <is>
          <t>"bag" là cái cặp, cái túi.</t>
        </is>
      </c>
      <c r="N572" s="3" t="n"/>
      <c r="O572" s="14" t="n">
        <v>30</v>
      </c>
      <c r="P572" s="14">
        <f>INDEX(Khung_cap_do!$H$2:$H$6,H572)</f>
        <v/>
      </c>
      <c r="Q572" s="3" t="inlineStr">
        <is>
          <t>A1.SCHOOL.01</t>
        </is>
      </c>
      <c r="R572" s="3" t="inlineStr">
        <is>
          <t>TA.TUVUNG</t>
        </is>
      </c>
    </row>
    <row r="573">
      <c r="A573" s="3" t="inlineStr">
        <is>
          <t>ta1-gs-u03-q3</t>
        </is>
      </c>
      <c r="B573" s="3" t="inlineStr">
        <is>
          <t>Tiếng Anh</t>
        </is>
      </c>
      <c r="C573" s="3" t="inlineStr">
        <is>
          <t>Global Success</t>
        </is>
      </c>
      <c r="D573" s="3" t="inlineStr">
        <is>
          <t>Unit 3</t>
        </is>
      </c>
      <c r="E573" s="3" t="inlineStr">
        <is>
          <t>Unit 1–4 và Review 1</t>
        </is>
      </c>
      <c r="F573" s="3" t="inlineStr">
        <is>
          <t>Unit 3. At the street market</t>
        </is>
      </c>
      <c r="G573" s="3" t="inlineStr">
        <is>
          <t>Chọn đáp án</t>
        </is>
      </c>
      <c r="H573" s="14" t="n">
        <v>1</v>
      </c>
      <c r="I573" s="3" t="inlineStr">
        <is>
          <t>Làm quen</t>
        </is>
      </c>
      <c r="J573" s="3" t="inlineStr">
        <is>
          <t>🧢 Đây là gì?</t>
        </is>
      </c>
      <c r="K573" s="3" t="inlineStr">
        <is>
          <t>A. hat | B. bag | C. cat</t>
        </is>
      </c>
      <c r="L573" s="3" t="inlineStr">
        <is>
          <t>A</t>
        </is>
      </c>
      <c r="M573" s="3" t="inlineStr">
        <is>
          <t>"hat" là cái mũ.</t>
        </is>
      </c>
      <c r="N573" s="3" t="n"/>
      <c r="O573" s="14" t="n">
        <v>30</v>
      </c>
      <c r="P573" s="14">
        <f>INDEX(Khung_cap_do!$H$2:$H$6,H573)</f>
        <v/>
      </c>
      <c r="Q573" s="3" t="inlineStr">
        <is>
          <t>A1.ABC.02</t>
        </is>
      </c>
      <c r="R573" s="3" t="inlineStr">
        <is>
          <t>TA.TUVUNG</t>
        </is>
      </c>
    </row>
    <row r="574">
      <c r="A574" s="3" t="inlineStr">
        <is>
          <t>ta1-gs-u03-q4</t>
        </is>
      </c>
      <c r="B574" s="3" t="inlineStr">
        <is>
          <t>Tiếng Anh</t>
        </is>
      </c>
      <c r="C574" s="3" t="inlineStr">
        <is>
          <t>Global Success</t>
        </is>
      </c>
      <c r="D574" s="3" t="inlineStr">
        <is>
          <t>Unit 3</t>
        </is>
      </c>
      <c r="E574" s="3" t="inlineStr">
        <is>
          <t>Unit 1–4 và Review 1</t>
        </is>
      </c>
      <c r="F574" s="3" t="inlineStr">
        <is>
          <t>Unit 3. At the street market</t>
        </is>
      </c>
      <c r="G574" s="3" t="inlineStr">
        <is>
          <t>Ghép cặp</t>
        </is>
      </c>
      <c r="H574" s="14" t="n">
        <v>2</v>
      </c>
      <c r="I574" s="3" t="inlineStr">
        <is>
          <t>Cơ bản</t>
        </is>
      </c>
      <c r="J574" s="3" t="inlineStr">
        <is>
          <t>Ghép từ tiếng Anh với nghĩa</t>
        </is>
      </c>
      <c r="K574" s="3" t="inlineStr">
        <is>
          <t>apple ↔ ? / bag ↔ ? / can ↔ ?</t>
        </is>
      </c>
      <c r="L574" s="3" t="inlineStr">
        <is>
          <t>apple – quả táo; bag – cái cặp; can – cái lon</t>
        </is>
      </c>
      <c r="M574" s="3" t="inlineStr">
        <is>
          <t>apple – quả táo; bag – cái cặp; can – cái lon.</t>
        </is>
      </c>
      <c r="N574" s="3" t="n"/>
      <c r="O574" s="14" t="n">
        <v>55</v>
      </c>
      <c r="P574" s="14">
        <f>INDEX(Khung_cap_do!$H$2:$H$6,H574)</f>
        <v/>
      </c>
      <c r="Q574" s="3" t="inlineStr">
        <is>
          <t>A1.ABC.02</t>
        </is>
      </c>
      <c r="R574" s="3" t="inlineStr">
        <is>
          <t>TA.NOINGHIA</t>
        </is>
      </c>
    </row>
    <row r="575">
      <c r="A575" s="3" t="inlineStr">
        <is>
          <t>ta1-gs-u03-q5</t>
        </is>
      </c>
      <c r="B575" s="3" t="inlineStr">
        <is>
          <t>Tiếng Anh</t>
        </is>
      </c>
      <c r="C575" s="3" t="inlineStr">
        <is>
          <t>Global Success</t>
        </is>
      </c>
      <c r="D575" s="3" t="inlineStr">
        <is>
          <t>Unit 3</t>
        </is>
      </c>
      <c r="E575" s="3" t="inlineStr">
        <is>
          <t>Unit 1–4 và Review 1</t>
        </is>
      </c>
      <c r="F575" s="3" t="inlineStr">
        <is>
          <t>Unit 3. At the street market</t>
        </is>
      </c>
      <c r="G575" s="3" t="inlineStr">
        <is>
          <t>Chọn nhiều đáp án</t>
        </is>
      </c>
      <c r="H575" s="14" t="n">
        <v>2</v>
      </c>
      <c r="I575" s="3" t="inlineStr">
        <is>
          <t>Cơ bản</t>
        </is>
      </c>
      <c r="J575" s="3" t="inlineStr">
        <is>
          <t>Chọn TẤT CẢ các từ có chữ a</t>
        </is>
      </c>
      <c r="K575" s="3" t="inlineStr">
        <is>
          <t>A. bag | B. cat | C. hat | D. book | E. cup</t>
        </is>
      </c>
      <c r="L575" s="3" t="inlineStr">
        <is>
          <t>A, B, C</t>
        </is>
      </c>
      <c r="M575" s="3" t="inlineStr">
        <is>
          <t>bag, cat, hat đều có chữ a ở giữa.</t>
        </is>
      </c>
      <c r="N575" s="3" t="n"/>
      <c r="O575" s="14" t="n">
        <v>50</v>
      </c>
      <c r="P575" s="14">
        <f>INDEX(Khung_cap_do!$H$2:$H$6,H575)</f>
        <v/>
      </c>
      <c r="Q575" s="3" t="inlineStr">
        <is>
          <t>A1.ABC.01</t>
        </is>
      </c>
      <c r="R575" s="3" t="inlineStr">
        <is>
          <t>TA.NHOMTU</t>
        </is>
      </c>
    </row>
    <row r="576">
      <c r="A576" s="3" t="inlineStr">
        <is>
          <t>ta1-gs-u03-q6</t>
        </is>
      </c>
      <c r="B576" s="3" t="inlineStr">
        <is>
          <t>Tiếng Anh</t>
        </is>
      </c>
      <c r="C576" s="3" t="inlineStr">
        <is>
          <t>Global Success</t>
        </is>
      </c>
      <c r="D576" s="3" t="inlineStr">
        <is>
          <t>Unit 3</t>
        </is>
      </c>
      <c r="E576" s="3" t="inlineStr">
        <is>
          <t>Unit 1–4 và Review 1</t>
        </is>
      </c>
      <c r="F576" s="3" t="inlineStr">
        <is>
          <t>Unit 3. At the street market</t>
        </is>
      </c>
      <c r="G576" s="3" t="inlineStr">
        <is>
          <t>Điền đáp án</t>
        </is>
      </c>
      <c r="H576" s="14" t="n">
        <v>2</v>
      </c>
      <c r="I576" s="3" t="inlineStr">
        <is>
          <t>Cơ bản</t>
        </is>
      </c>
      <c r="J576" s="3" t="inlineStr">
        <is>
          <t>Điền chữ cái còn thiếu: h_t (🧢 cái mũ)</t>
        </is>
      </c>
      <c r="K576" s="3" t="inlineStr"/>
      <c r="L576" s="3" t="inlineStr">
        <is>
          <t>a / hat</t>
        </is>
      </c>
      <c r="M576" s="3" t="inlineStr">
        <is>
          <t>h + a + t = hat.</t>
        </is>
      </c>
      <c r="N576" s="3" t="n"/>
      <c r="O576" s="14" t="n">
        <v>50</v>
      </c>
      <c r="P576" s="14">
        <f>INDEX(Khung_cap_do!$H$2:$H$6,H576)</f>
        <v/>
      </c>
      <c r="Q576" s="3" t="inlineStr">
        <is>
          <t>A1.ABC.02</t>
        </is>
      </c>
      <c r="R576" s="3" t="inlineStr">
        <is>
          <t>TA.CHUCAI</t>
        </is>
      </c>
    </row>
    <row r="577">
      <c r="A577" s="3" t="inlineStr">
        <is>
          <t>ta1-gs-u03-q7</t>
        </is>
      </c>
      <c r="B577" s="3" t="inlineStr">
        <is>
          <t>Tiếng Anh</t>
        </is>
      </c>
      <c r="C577" s="3" t="inlineStr">
        <is>
          <t>Global Success</t>
        </is>
      </c>
      <c r="D577" s="3" t="inlineStr">
        <is>
          <t>Unit 3</t>
        </is>
      </c>
      <c r="E577" s="3" t="inlineStr">
        <is>
          <t>Unit 1–4 và Review 1</t>
        </is>
      </c>
      <c r="F577" s="3" t="inlineStr">
        <is>
          <t>Unit 3. At the street market</t>
        </is>
      </c>
      <c r="G577" s="3" t="inlineStr">
        <is>
          <t>Chọn đáp án</t>
        </is>
      </c>
      <c r="H577" s="14" t="n">
        <v>3</v>
      </c>
      <c r="I577" s="3" t="inlineStr">
        <is>
          <t>Vận dụng</t>
        </is>
      </c>
      <c r="J577" s="3" t="inlineStr">
        <is>
          <t>"I have a bag." nghĩa là gì?</t>
        </is>
      </c>
      <c r="K577" s="3" t="inlineStr">
        <is>
          <t>A. Em có một cái cặp. | B. Em có một quả táo. | C. Em có một cái mũ.</t>
        </is>
      </c>
      <c r="L577" s="3" t="inlineStr">
        <is>
          <t>A</t>
        </is>
      </c>
      <c r="M577" s="3" t="inlineStr">
        <is>
          <t>"I have a ..." là "Em có một ...", "bag" là cái cặp.</t>
        </is>
      </c>
      <c r="N577" s="3" t="inlineStr">
        <is>
          <t>Tách câu: "I" = em, "have" = có, "a" = một, "bag" = cái cặp. Ghép lại: Em có một cái cặp.</t>
        </is>
      </c>
      <c r="O577" s="14" t="n">
        <v>50</v>
      </c>
      <c r="P577" s="14">
        <f>INDEX(Khung_cap_do!$H$2:$H$6,H577)</f>
        <v/>
      </c>
      <c r="Q577" s="3" t="inlineStr">
        <is>
          <t>A1.SCHOOL.01</t>
        </is>
      </c>
      <c r="R577" s="3" t="inlineStr">
        <is>
          <t>TA.MAUCAU</t>
        </is>
      </c>
    </row>
    <row r="578">
      <c r="A578" s="3" t="inlineStr">
        <is>
          <t>ta1-gs-u03-q8</t>
        </is>
      </c>
      <c r="B578" s="3" t="inlineStr">
        <is>
          <t>Tiếng Anh</t>
        </is>
      </c>
      <c r="C578" s="3" t="inlineStr">
        <is>
          <t>Global Success</t>
        </is>
      </c>
      <c r="D578" s="3" t="inlineStr">
        <is>
          <t>Unit 3</t>
        </is>
      </c>
      <c r="E578" s="3" t="inlineStr">
        <is>
          <t>Unit 1–4 và Review 1</t>
        </is>
      </c>
      <c r="F578" s="3" t="inlineStr">
        <is>
          <t>Unit 3. At the street market</t>
        </is>
      </c>
      <c r="G578" s="3" t="inlineStr">
        <is>
          <t>Đúng / Sai</t>
        </is>
      </c>
      <c r="H578" s="14" t="n">
        <v>1</v>
      </c>
      <c r="I578" s="3" t="inlineStr">
        <is>
          <t>Làm quen</t>
        </is>
      </c>
      <c r="J578" s="3" t="inlineStr">
        <is>
          <t>"apple" nghĩa là quả táo. Đúng hay sai?</t>
        </is>
      </c>
      <c r="K578" s="3" t="inlineStr">
        <is>
          <t>A. Đúng | B. Sai</t>
        </is>
      </c>
      <c r="L578" s="3" t="inlineStr">
        <is>
          <t>A</t>
        </is>
      </c>
      <c r="M578" s="3" t="inlineStr">
        <is>
          <t>Đúng.</t>
        </is>
      </c>
      <c r="N578" s="3" t="n"/>
      <c r="O578" s="14" t="n">
        <v>30</v>
      </c>
      <c r="P578" s="14">
        <f>INDEX(Khung_cap_do!$H$2:$H$6,H578)</f>
        <v/>
      </c>
      <c r="Q578" s="3" t="inlineStr">
        <is>
          <t>A1.EXTRA.02</t>
        </is>
      </c>
      <c r="R578" s="3" t="inlineStr">
        <is>
          <t>TA.TUVUNG</t>
        </is>
      </c>
    </row>
    <row r="579">
      <c r="A579" s="3" t="inlineStr">
        <is>
          <t>ta1-gs-u04-q1</t>
        </is>
      </c>
      <c r="B579" s="3" t="inlineStr">
        <is>
          <t>Tiếng Anh</t>
        </is>
      </c>
      <c r="C579" s="3" t="inlineStr">
        <is>
          <t>Global Success</t>
        </is>
      </c>
      <c r="D579" s="3" t="inlineStr">
        <is>
          <t>Unit 4</t>
        </is>
      </c>
      <c r="E579" s="3" t="inlineStr">
        <is>
          <t>Unit 1–4 và Review 1</t>
        </is>
      </c>
      <c r="F579" s="3" t="inlineStr">
        <is>
          <t>Unit 4. In the bedroom</t>
        </is>
      </c>
      <c r="G579" s="3" t="inlineStr">
        <is>
          <t>Chọn đáp án</t>
        </is>
      </c>
      <c r="H579" s="14" t="n">
        <v>1</v>
      </c>
      <c r="I579" s="3" t="inlineStr">
        <is>
          <t>Làm quen</t>
        </is>
      </c>
      <c r="J579" s="3" t="inlineStr">
        <is>
          <t>🐶 Đây là gì?</t>
        </is>
      </c>
      <c r="K579" s="3" t="inlineStr">
        <is>
          <t>A. dog | B. duck | C. desk</t>
        </is>
      </c>
      <c r="L579" s="3" t="inlineStr">
        <is>
          <t>A</t>
        </is>
      </c>
      <c r="M579" s="3" t="inlineStr">
        <is>
          <t>"dog" là con chó.</t>
        </is>
      </c>
      <c r="N579" s="3" t="n"/>
      <c r="O579" s="14" t="n">
        <v>30</v>
      </c>
      <c r="P579" s="14">
        <f>INDEX(Khung_cap_do!$H$2:$H$6,H579)</f>
        <v/>
      </c>
      <c r="Q579" s="3" t="inlineStr">
        <is>
          <t>A1.ANIMAL.01</t>
        </is>
      </c>
      <c r="R579" s="3" t="inlineStr">
        <is>
          <t>TA.TUVUNG</t>
        </is>
      </c>
    </row>
    <row r="580">
      <c r="A580" s="3" t="inlineStr">
        <is>
          <t>ta1-gs-u04-q2</t>
        </is>
      </c>
      <c r="B580" s="3" t="inlineStr">
        <is>
          <t>Tiếng Anh</t>
        </is>
      </c>
      <c r="C580" s="3" t="inlineStr">
        <is>
          <t>Global Success</t>
        </is>
      </c>
      <c r="D580" s="3" t="inlineStr">
        <is>
          <t>Unit 4</t>
        </is>
      </c>
      <c r="E580" s="3" t="inlineStr">
        <is>
          <t>Unit 1–4 và Review 1</t>
        </is>
      </c>
      <c r="F580" s="3" t="inlineStr">
        <is>
          <t>Unit 4. In the bedroom</t>
        </is>
      </c>
      <c r="G580" s="3" t="inlineStr">
        <is>
          <t>Chọn đáp án</t>
        </is>
      </c>
      <c r="H580" s="14" t="n">
        <v>1</v>
      </c>
      <c r="I580" s="3" t="inlineStr">
        <is>
          <t>Làm quen</t>
        </is>
      </c>
      <c r="J580" s="3" t="inlineStr">
        <is>
          <t>🦆 Đây là gì?</t>
        </is>
      </c>
      <c r="K580" s="3" t="inlineStr">
        <is>
          <t>A. duck | B. dog | C. door</t>
        </is>
      </c>
      <c r="L580" s="3" t="inlineStr">
        <is>
          <t>A</t>
        </is>
      </c>
      <c r="M580" s="3" t="inlineStr">
        <is>
          <t>"duck" là con vịt.</t>
        </is>
      </c>
      <c r="N580" s="3" t="n"/>
      <c r="O580" s="14" t="n">
        <v>30</v>
      </c>
      <c r="P580" s="14">
        <f>INDEX(Khung_cap_do!$H$2:$H$6,H580)</f>
        <v/>
      </c>
      <c r="Q580" s="3" t="inlineStr">
        <is>
          <t>A1.ANIMAL.01</t>
        </is>
      </c>
      <c r="R580" s="3" t="inlineStr">
        <is>
          <t>TA.TUVUNG</t>
        </is>
      </c>
    </row>
    <row r="581">
      <c r="A581" s="3" t="inlineStr">
        <is>
          <t>ta1-gs-u04-q3</t>
        </is>
      </c>
      <c r="B581" s="3" t="inlineStr">
        <is>
          <t>Tiếng Anh</t>
        </is>
      </c>
      <c r="C581" s="3" t="inlineStr">
        <is>
          <t>Global Success</t>
        </is>
      </c>
      <c r="D581" s="3" t="inlineStr">
        <is>
          <t>Unit 4</t>
        </is>
      </c>
      <c r="E581" s="3" t="inlineStr">
        <is>
          <t>Unit 1–4 và Review 1</t>
        </is>
      </c>
      <c r="F581" s="3" t="inlineStr">
        <is>
          <t>Unit 4. In the bedroom</t>
        </is>
      </c>
      <c r="G581" s="3" t="inlineStr">
        <is>
          <t>Chọn đáp án</t>
        </is>
      </c>
      <c r="H581" s="14" t="n">
        <v>1</v>
      </c>
      <c r="I581" s="3" t="inlineStr">
        <is>
          <t>Làm quen</t>
        </is>
      </c>
      <c r="J581" s="3" t="inlineStr">
        <is>
          <t>🚪 Đây là gì?</t>
        </is>
      </c>
      <c r="K581" s="3" t="inlineStr">
        <is>
          <t>A. door | B. desk | C. dog</t>
        </is>
      </c>
      <c r="L581" s="3" t="inlineStr">
        <is>
          <t>A</t>
        </is>
      </c>
      <c r="M581" s="3" t="inlineStr">
        <is>
          <t>"door" là cái cửa.</t>
        </is>
      </c>
      <c r="N581" s="3" t="n"/>
      <c r="O581" s="14" t="n">
        <v>30</v>
      </c>
      <c r="P581" s="14">
        <f>INDEX(Khung_cap_do!$H$2:$H$6,H581)</f>
        <v/>
      </c>
      <c r="Q581" s="3" t="inlineStr">
        <is>
          <t>A1.SCHOOL.01</t>
        </is>
      </c>
      <c r="R581" s="3" t="inlineStr">
        <is>
          <t>TA.TUVUNG</t>
        </is>
      </c>
    </row>
    <row r="582">
      <c r="A582" s="3" t="inlineStr">
        <is>
          <t>ta1-gs-u04-q4</t>
        </is>
      </c>
      <c r="B582" s="3" t="inlineStr">
        <is>
          <t>Tiếng Anh</t>
        </is>
      </c>
      <c r="C582" s="3" t="inlineStr">
        <is>
          <t>Global Success</t>
        </is>
      </c>
      <c r="D582" s="3" t="inlineStr">
        <is>
          <t>Unit 4</t>
        </is>
      </c>
      <c r="E582" s="3" t="inlineStr">
        <is>
          <t>Unit 1–4 và Review 1</t>
        </is>
      </c>
      <c r="F582" s="3" t="inlineStr">
        <is>
          <t>Unit 4. In the bedroom</t>
        </is>
      </c>
      <c r="G582" s="3" t="inlineStr">
        <is>
          <t>Ghép cặp</t>
        </is>
      </c>
      <c r="H582" s="14" t="n">
        <v>2</v>
      </c>
      <c r="I582" s="3" t="inlineStr">
        <is>
          <t>Cơ bản</t>
        </is>
      </c>
      <c r="J582" s="3" t="inlineStr">
        <is>
          <t>Ghép từ tiếng Anh với nghĩa</t>
        </is>
      </c>
      <c r="K582" s="3" t="inlineStr">
        <is>
          <t>desk ↔ ? / door ↔ ? / dog ↔ ?</t>
        </is>
      </c>
      <c r="L582" s="3" t="inlineStr">
        <is>
          <t>desk – cái bàn; door – cái cửa; dog – con chó</t>
        </is>
      </c>
      <c r="M582" s="3" t="inlineStr">
        <is>
          <t>desk – cái bàn; door – cái cửa; dog – con chó.</t>
        </is>
      </c>
      <c r="N582" s="3" t="n"/>
      <c r="O582" s="14" t="n">
        <v>55</v>
      </c>
      <c r="P582" s="14">
        <f>INDEX(Khung_cap_do!$H$2:$H$6,H582)</f>
        <v/>
      </c>
      <c r="Q582" s="3" t="inlineStr">
        <is>
          <t>A1.SCHOOL.01</t>
        </is>
      </c>
      <c r="R582" s="3" t="inlineStr">
        <is>
          <t>TA.NOINGHIA</t>
        </is>
      </c>
    </row>
    <row r="583">
      <c r="A583" s="3" t="inlineStr">
        <is>
          <t>ta1-gs-u04-q5</t>
        </is>
      </c>
      <c r="B583" s="3" t="inlineStr">
        <is>
          <t>Tiếng Anh</t>
        </is>
      </c>
      <c r="C583" s="3" t="inlineStr">
        <is>
          <t>Global Success</t>
        </is>
      </c>
      <c r="D583" s="3" t="inlineStr">
        <is>
          <t>Unit 4</t>
        </is>
      </c>
      <c r="E583" s="3" t="inlineStr">
        <is>
          <t>Unit 1–4 và Review 1</t>
        </is>
      </c>
      <c r="F583" s="3" t="inlineStr">
        <is>
          <t>Unit 4. In the bedroom</t>
        </is>
      </c>
      <c r="G583" s="3" t="inlineStr">
        <is>
          <t>Chọn đáp án</t>
        </is>
      </c>
      <c r="H583" s="14" t="n">
        <v>2</v>
      </c>
      <c r="I583" s="3" t="inlineStr">
        <is>
          <t>Cơ bản</t>
        </is>
      </c>
      <c r="J583" s="3" t="inlineStr">
        <is>
          <t>Chữ nào là chữ d thường?</t>
        </is>
      </c>
      <c r="K583" s="3" t="inlineStr">
        <is>
          <t>A. d | B. b | C. p</t>
        </is>
      </c>
      <c r="L583" s="3" t="inlineStr">
        <is>
          <t>A</t>
        </is>
      </c>
      <c r="M583" s="3" t="inlineStr">
        <is>
          <t>Chữ d có bụng tròn ở bên TRÁI nét thẳng.</t>
        </is>
      </c>
      <c r="N583" s="3" t="inlineStr">
        <is>
          <t>Mẹo phân biệt b và d: chữ b có bụng tròn ở bên phải, chữ d có bụng tròn ở bên trái.</t>
        </is>
      </c>
      <c r="O583" s="14" t="n">
        <v>40</v>
      </c>
      <c r="P583" s="14">
        <f>INDEX(Khung_cap_do!$H$2:$H$6,H583)</f>
        <v/>
      </c>
      <c r="Q583" s="3" t="inlineStr">
        <is>
          <t>A1.ABC.01</t>
        </is>
      </c>
      <c r="R583" s="3" t="inlineStr">
        <is>
          <t>TA.CHUCAI</t>
        </is>
      </c>
    </row>
    <row r="584">
      <c r="A584" s="3" t="inlineStr">
        <is>
          <t>ta1-gs-u04-q6</t>
        </is>
      </c>
      <c r="B584" s="3" t="inlineStr">
        <is>
          <t>Tiếng Anh</t>
        </is>
      </c>
      <c r="C584" s="3" t="inlineStr">
        <is>
          <t>Global Success</t>
        </is>
      </c>
      <c r="D584" s="3" t="inlineStr">
        <is>
          <t>Unit 4</t>
        </is>
      </c>
      <c r="E584" s="3" t="inlineStr">
        <is>
          <t>Unit 1–4 và Review 1</t>
        </is>
      </c>
      <c r="F584" s="3" t="inlineStr">
        <is>
          <t>Unit 4. In the bedroom</t>
        </is>
      </c>
      <c r="G584" s="3" t="inlineStr">
        <is>
          <t>Điền đáp án</t>
        </is>
      </c>
      <c r="H584" s="14" t="n">
        <v>2</v>
      </c>
      <c r="I584" s="3" t="inlineStr">
        <is>
          <t>Cơ bản</t>
        </is>
      </c>
      <c r="J584" s="3" t="inlineStr">
        <is>
          <t>Điền chữ cái còn thiếu: _uck (🦆 con vịt)</t>
        </is>
      </c>
      <c r="K584" s="3" t="inlineStr"/>
      <c r="L584" s="3" t="inlineStr">
        <is>
          <t>d / duck</t>
        </is>
      </c>
      <c r="M584" s="3" t="inlineStr">
        <is>
          <t>d + uck = duck.</t>
        </is>
      </c>
      <c r="N584" s="3" t="n"/>
      <c r="O584" s="14" t="n">
        <v>50</v>
      </c>
      <c r="P584" s="14">
        <f>INDEX(Khung_cap_do!$H$2:$H$6,H584)</f>
        <v/>
      </c>
      <c r="Q584" s="3" t="inlineStr">
        <is>
          <t>A1.ABC.02</t>
        </is>
      </c>
      <c r="R584" s="3" t="inlineStr">
        <is>
          <t>TA.CHUCAI</t>
        </is>
      </c>
    </row>
    <row r="585">
      <c r="A585" s="3" t="inlineStr">
        <is>
          <t>ta1-gs-u04-q7</t>
        </is>
      </c>
      <c r="B585" s="3" t="inlineStr">
        <is>
          <t>Tiếng Anh</t>
        </is>
      </c>
      <c r="C585" s="3" t="inlineStr">
        <is>
          <t>Global Success</t>
        </is>
      </c>
      <c r="D585" s="3" t="inlineStr">
        <is>
          <t>Unit 4</t>
        </is>
      </c>
      <c r="E585" s="3" t="inlineStr">
        <is>
          <t>Unit 1–4 và Review 1</t>
        </is>
      </c>
      <c r="F585" s="3" t="inlineStr">
        <is>
          <t>Unit 4. In the bedroom</t>
        </is>
      </c>
      <c r="G585" s="3" t="inlineStr">
        <is>
          <t>Chọn nhiều đáp án</t>
        </is>
      </c>
      <c r="H585" s="14" t="n">
        <v>2</v>
      </c>
      <c r="I585" s="3" t="inlineStr">
        <is>
          <t>Cơ bản</t>
        </is>
      </c>
      <c r="J585" s="3" t="inlineStr">
        <is>
          <t>Chọn TẤT CẢ các con vật</t>
        </is>
      </c>
      <c r="K585" s="3" t="inlineStr">
        <is>
          <t>A. dog | B. desk | C. duck | D. cat | E. door</t>
        </is>
      </c>
      <c r="L585" s="3" t="inlineStr">
        <is>
          <t>A, C, D</t>
        </is>
      </c>
      <c r="M585" s="3" t="inlineStr">
        <is>
          <t>dog, duck, cat là con vật; desk, door là đồ vật.</t>
        </is>
      </c>
      <c r="N585" s="3" t="n"/>
      <c r="O585" s="14" t="n">
        <v>50</v>
      </c>
      <c r="P585" s="14">
        <f>INDEX(Khung_cap_do!$H$2:$H$6,H585)</f>
        <v/>
      </c>
      <c r="Q585" s="3" t="inlineStr">
        <is>
          <t>A1.ANIMAL.01</t>
        </is>
      </c>
      <c r="R585" s="3" t="inlineStr">
        <is>
          <t>TA.NHOMTU</t>
        </is>
      </c>
    </row>
    <row r="586">
      <c r="A586" s="3" t="inlineStr">
        <is>
          <t>ta1-gs-u04-q8</t>
        </is>
      </c>
      <c r="B586" s="3" t="inlineStr">
        <is>
          <t>Tiếng Anh</t>
        </is>
      </c>
      <c r="C586" s="3" t="inlineStr">
        <is>
          <t>Global Success</t>
        </is>
      </c>
      <c r="D586" s="3" t="inlineStr">
        <is>
          <t>Unit 4</t>
        </is>
      </c>
      <c r="E586" s="3" t="inlineStr">
        <is>
          <t>Unit 1–4 và Review 1</t>
        </is>
      </c>
      <c r="F586" s="3" t="inlineStr">
        <is>
          <t>Unit 4. In the bedroom</t>
        </is>
      </c>
      <c r="G586" s="3" t="inlineStr">
        <is>
          <t>Chọn đáp án</t>
        </is>
      </c>
      <c r="H586" s="14" t="n">
        <v>3</v>
      </c>
      <c r="I586" s="3" t="inlineStr">
        <is>
          <t>Vận dụng</t>
        </is>
      </c>
      <c r="J586" s="3" t="inlineStr">
        <is>
          <t>🐶 Cô hỏi: "Can you see a dog?" Em trả lời:</t>
        </is>
      </c>
      <c r="K586" s="3" t="inlineStr">
        <is>
          <t>A. Yes. | B. No.</t>
        </is>
      </c>
      <c r="L586" s="3" t="inlineStr">
        <is>
          <t>A</t>
        </is>
      </c>
      <c r="M586" s="3" t="inlineStr">
        <is>
          <t>Trong tranh có con chó, nên trả lời "Yes."</t>
        </is>
      </c>
      <c r="N586" s="3" t="inlineStr">
        <is>
          <t>"Can you see a dog?" nghĩa là "Em có nhìn thấy con chó không?". Trong tranh có con chó nên trả lời "Yes." (Có).</t>
        </is>
      </c>
      <c r="O586" s="14" t="n">
        <v>50</v>
      </c>
      <c r="P586" s="14">
        <f>INDEX(Khung_cap_do!$H$2:$H$6,H586)</f>
        <v/>
      </c>
      <c r="Q586" s="3" t="inlineStr">
        <is>
          <t>A1.HELLO.02</t>
        </is>
      </c>
      <c r="R586" s="3" t="inlineStr">
        <is>
          <t>TA.MAUCAU</t>
        </is>
      </c>
    </row>
    <row r="587">
      <c r="A587" s="3" t="inlineStr">
        <is>
          <t>ta1-gs-review1-q1</t>
        </is>
      </c>
      <c r="B587" s="3" t="inlineStr">
        <is>
          <t>Tiếng Anh</t>
        </is>
      </c>
      <c r="C587" s="3" t="inlineStr">
        <is>
          <t>Global Success</t>
        </is>
      </c>
      <c r="D587" s="3" t="inlineStr">
        <is>
          <t>Review 1</t>
        </is>
      </c>
      <c r="E587" s="3" t="inlineStr">
        <is>
          <t>Unit 1–4 và Review 1</t>
        </is>
      </c>
      <c r="F587" s="3" t="inlineStr">
        <is>
          <t>Review 1. Ôn tập Unit 1–4</t>
        </is>
      </c>
      <c r="G587" s="3" t="inlineStr">
        <is>
          <t>Ghép cặp</t>
        </is>
      </c>
      <c r="H587" s="14" t="n">
        <v>2</v>
      </c>
      <c r="I587" s="3" t="inlineStr">
        <is>
          <t>Cơ bản</t>
        </is>
      </c>
      <c r="J587" s="3" t="inlineStr">
        <is>
          <t>Ghép hình với từ đúng</t>
        </is>
      </c>
      <c r="K587" s="3" t="inlineStr">
        <is>
          <t>🚲 ↔ ? / 🐱 ↔ ? / 🍎 ↔ ? / 🦆 ↔ ?</t>
        </is>
      </c>
      <c r="L587" s="3" t="inlineStr">
        <is>
          <t>🚲 – bike; 🐱 – cat; 🍎 – apple; 🦆 – duck</t>
        </is>
      </c>
      <c r="M587" s="3" t="inlineStr">
        <is>
          <t>bike, cat, apple, duck.</t>
        </is>
      </c>
      <c r="N587" s="3" t="n"/>
      <c r="O587" s="14" t="n">
        <v>55</v>
      </c>
      <c r="P587" s="14">
        <f>INDEX(Khung_cap_do!$H$2:$H$6,H587)</f>
        <v/>
      </c>
      <c r="Q587" s="3" t="inlineStr">
        <is>
          <t>A1.ABC.02</t>
        </is>
      </c>
      <c r="R587" s="3" t="inlineStr">
        <is>
          <t>TA.NOINGHIA</t>
        </is>
      </c>
    </row>
    <row r="588">
      <c r="A588" s="3" t="inlineStr">
        <is>
          <t>ta1-gs-review1-q2</t>
        </is>
      </c>
      <c r="B588" s="3" t="inlineStr">
        <is>
          <t>Tiếng Anh</t>
        </is>
      </c>
      <c r="C588" s="3" t="inlineStr">
        <is>
          <t>Global Success</t>
        </is>
      </c>
      <c r="D588" s="3" t="inlineStr">
        <is>
          <t>Review 1</t>
        </is>
      </c>
      <c r="E588" s="3" t="inlineStr">
        <is>
          <t>Unit 1–4 và Review 1</t>
        </is>
      </c>
      <c r="F588" s="3" t="inlineStr">
        <is>
          <t>Review 1. Ôn tập Unit 1–4</t>
        </is>
      </c>
      <c r="G588" s="3" t="inlineStr">
        <is>
          <t>Chọn nhiều đáp án</t>
        </is>
      </c>
      <c r="H588" s="14" t="n">
        <v>2</v>
      </c>
      <c r="I588" s="3" t="inlineStr">
        <is>
          <t>Cơ bản</t>
        </is>
      </c>
      <c r="J588" s="3" t="inlineStr">
        <is>
          <t>Chọn TẤT CẢ các từ bắt đầu bằng chữ d</t>
        </is>
      </c>
      <c r="K588" s="3" t="inlineStr">
        <is>
          <t>A. dog | B. bag | C. desk | D. door | E. cup</t>
        </is>
      </c>
      <c r="L588" s="3" t="inlineStr">
        <is>
          <t>A, C, D</t>
        </is>
      </c>
      <c r="M588" s="3" t="inlineStr">
        <is>
          <t>dog, desk, door bắt đầu bằng d.</t>
        </is>
      </c>
      <c r="N588" s="3" t="n"/>
      <c r="O588" s="14" t="n">
        <v>50</v>
      </c>
      <c r="P588" s="14">
        <f>INDEX(Khung_cap_do!$H$2:$H$6,H588)</f>
        <v/>
      </c>
      <c r="Q588" s="3" t="inlineStr">
        <is>
          <t>A1.ABC.02</t>
        </is>
      </c>
      <c r="R588" s="3" t="inlineStr">
        <is>
          <t>TA.NHOMTU</t>
        </is>
      </c>
    </row>
    <row r="589">
      <c r="A589" s="3" t="inlineStr">
        <is>
          <t>ta1-gs-review1-q3</t>
        </is>
      </c>
      <c r="B589" s="3" t="inlineStr">
        <is>
          <t>Tiếng Anh</t>
        </is>
      </c>
      <c r="C589" s="3" t="inlineStr">
        <is>
          <t>Global Success</t>
        </is>
      </c>
      <c r="D589" s="3" t="inlineStr">
        <is>
          <t>Review 1</t>
        </is>
      </c>
      <c r="E589" s="3" t="inlineStr">
        <is>
          <t>Unit 1–4 và Review 1</t>
        </is>
      </c>
      <c r="F589" s="3" t="inlineStr">
        <is>
          <t>Review 1. Ôn tập Unit 1–4</t>
        </is>
      </c>
      <c r="G589" s="3" t="inlineStr">
        <is>
          <t>Chọn đáp án</t>
        </is>
      </c>
      <c r="H589" s="14" t="n">
        <v>1</v>
      </c>
      <c r="I589" s="3" t="inlineStr">
        <is>
          <t>Làm quen</t>
        </is>
      </c>
      <c r="J589" s="3" t="inlineStr">
        <is>
          <t>Chữ cái đầu của từ "cake" là:</t>
        </is>
      </c>
      <c r="K589" s="3" t="inlineStr">
        <is>
          <t>A. c | B. a | C. b</t>
        </is>
      </c>
      <c r="L589" s="3" t="inlineStr">
        <is>
          <t>A</t>
        </is>
      </c>
      <c r="M589" s="3" t="inlineStr">
        <is>
          <t>"cake" bắt đầu bằng c.</t>
        </is>
      </c>
      <c r="N589" s="3" t="n"/>
      <c r="O589" s="14" t="n">
        <v>30</v>
      </c>
      <c r="P589" s="14">
        <f>INDEX(Khung_cap_do!$H$2:$H$6,H589)</f>
        <v/>
      </c>
      <c r="Q589" s="3" t="inlineStr">
        <is>
          <t>A1.ABC.02</t>
        </is>
      </c>
      <c r="R589" s="3" t="inlineStr">
        <is>
          <t>TA.CHUCAI</t>
        </is>
      </c>
    </row>
    <row r="590">
      <c r="A590" s="3" t="inlineStr">
        <is>
          <t>ta1-gs-review1-q4</t>
        </is>
      </c>
      <c r="B590" s="3" t="inlineStr">
        <is>
          <t>Tiếng Anh</t>
        </is>
      </c>
      <c r="C590" s="3" t="inlineStr">
        <is>
          <t>Global Success</t>
        </is>
      </c>
      <c r="D590" s="3" t="inlineStr">
        <is>
          <t>Review 1</t>
        </is>
      </c>
      <c r="E590" s="3" t="inlineStr">
        <is>
          <t>Unit 1–4 và Review 1</t>
        </is>
      </c>
      <c r="F590" s="3" t="inlineStr">
        <is>
          <t>Review 1. Ôn tập Unit 1–4</t>
        </is>
      </c>
      <c r="G590" s="3" t="inlineStr">
        <is>
          <t>Chọn đáp án</t>
        </is>
      </c>
      <c r="H590" s="14" t="n">
        <v>3</v>
      </c>
      <c r="I590" s="3" t="inlineStr">
        <is>
          <t>Vận dụng</t>
        </is>
      </c>
      <c r="J590" s="3" t="inlineStr">
        <is>
          <t>Bạn chỉ vào cái cặp của mình và nói:</t>
        </is>
      </c>
      <c r="K590" s="3" t="inlineStr">
        <is>
          <t>A. This is my bag. | B. This is my cat. | C. This is my door.</t>
        </is>
      </c>
      <c r="L590" s="3" t="inlineStr">
        <is>
          <t>A</t>
        </is>
      </c>
      <c r="M590" s="3" t="inlineStr">
        <is>
          <t>"This is my bag." = Đây là cái cặp của mình.</t>
        </is>
      </c>
      <c r="N590" s="3" t="inlineStr">
        <is>
          <t>"This is my ..." nghĩa là "Đây là ... của mình". Cái cặp là "bag", nên nói "This is my bag."</t>
        </is>
      </c>
      <c r="O590" s="14" t="n">
        <v>50</v>
      </c>
      <c r="P590" s="14">
        <f>INDEX(Khung_cap_do!$H$2:$H$6,H590)</f>
        <v/>
      </c>
      <c r="Q590" s="3" t="inlineStr">
        <is>
          <t>A1.SCHOOL.01</t>
        </is>
      </c>
      <c r="R590" s="3" t="inlineStr">
        <is>
          <t>TA.MAUCAU</t>
        </is>
      </c>
    </row>
    <row r="591">
      <c r="A591" s="3" t="inlineStr">
        <is>
          <t>ta1-gs-review1-q5</t>
        </is>
      </c>
      <c r="B591" s="3" t="inlineStr">
        <is>
          <t>Tiếng Anh</t>
        </is>
      </c>
      <c r="C591" s="3" t="inlineStr">
        <is>
          <t>Global Success</t>
        </is>
      </c>
      <c r="D591" s="3" t="inlineStr">
        <is>
          <t>Review 1</t>
        </is>
      </c>
      <c r="E591" s="3" t="inlineStr">
        <is>
          <t>Unit 1–4 và Review 1</t>
        </is>
      </c>
      <c r="F591" s="3" t="inlineStr">
        <is>
          <t>Review 1. Ôn tập Unit 1–4</t>
        </is>
      </c>
      <c r="G591" s="3" t="inlineStr">
        <is>
          <t>Điền đáp án</t>
        </is>
      </c>
      <c r="H591" s="14" t="n">
        <v>2</v>
      </c>
      <c r="I591" s="3" t="inlineStr">
        <is>
          <t>Cơ bản</t>
        </is>
      </c>
      <c r="J591" s="3" t="inlineStr">
        <is>
          <t>Điền chữ cái còn thiếu: c_p (cái cốc)</t>
        </is>
      </c>
      <c r="K591" s="3" t="inlineStr"/>
      <c r="L591" s="3" t="inlineStr">
        <is>
          <t>u / cup</t>
        </is>
      </c>
      <c r="M591" s="3" t="inlineStr">
        <is>
          <t>c + u + p = cup.</t>
        </is>
      </c>
      <c r="N591" s="3" t="n"/>
      <c r="O591" s="14" t="n">
        <v>50</v>
      </c>
      <c r="P591" s="14">
        <f>INDEX(Khung_cap_do!$H$2:$H$6,H591)</f>
        <v/>
      </c>
      <c r="Q591" s="3" t="inlineStr">
        <is>
          <t>A1.ABC.02</t>
        </is>
      </c>
      <c r="R591" s="3" t="inlineStr">
        <is>
          <t>TA.CHUCAI</t>
        </is>
      </c>
    </row>
    <row r="592">
      <c r="A592" s="3" t="inlineStr">
        <is>
          <t>ta1-gs-review1-q6</t>
        </is>
      </c>
      <c r="B592" s="3" t="inlineStr">
        <is>
          <t>Tiếng Anh</t>
        </is>
      </c>
      <c r="C592" s="3" t="inlineStr">
        <is>
          <t>Global Success</t>
        </is>
      </c>
      <c r="D592" s="3" t="inlineStr">
        <is>
          <t>Review 1</t>
        </is>
      </c>
      <c r="E592" s="3" t="inlineStr">
        <is>
          <t>Unit 1–4 và Review 1</t>
        </is>
      </c>
      <c r="F592" s="3" t="inlineStr">
        <is>
          <t>Review 1. Ôn tập Unit 1–4</t>
        </is>
      </c>
      <c r="G592" s="3" t="inlineStr">
        <is>
          <t>Sắp xếp</t>
        </is>
      </c>
      <c r="H592" s="14" t="n">
        <v>3</v>
      </c>
      <c r="I592" s="3" t="inlineStr">
        <is>
          <t>Vận dụng</t>
        </is>
      </c>
      <c r="J592" s="3" t="inlineStr">
        <is>
          <t>Sắp xếp các từ thành câu đúng</t>
        </is>
      </c>
      <c r="K592" s="3" t="inlineStr">
        <is>
          <t>This / book. / is / my</t>
        </is>
      </c>
      <c r="L592" s="3" t="inlineStr">
        <is>
          <t>This → is → my → book.</t>
        </is>
      </c>
      <c r="M592" s="3" t="inlineStr">
        <is>
          <t>This is my book. = Đây là quyển sách của mình.</t>
        </is>
      </c>
      <c r="N592" s="3" t="inlineStr">
        <is>
          <t>Mẫu câu: This (Đây) – is (là) – my (của mình) – book (quyển sách). Từ có dấu chấm đứng cuối câu.</t>
        </is>
      </c>
      <c r="O592" s="14" t="n">
        <v>65</v>
      </c>
      <c r="P592" s="14">
        <f>INDEX(Khung_cap_do!$H$2:$H$6,H592)</f>
        <v/>
      </c>
      <c r="Q592" s="3" t="inlineStr">
        <is>
          <t>A1.SCHOOL.01</t>
        </is>
      </c>
      <c r="R592" s="3" t="inlineStr">
        <is>
          <t>TA.MAUCAU</t>
        </is>
      </c>
    </row>
    <row r="593">
      <c r="A593" s="3" t="inlineStr">
        <is>
          <t>ta1-gs-review1-q7</t>
        </is>
      </c>
      <c r="B593" s="3" t="inlineStr">
        <is>
          <t>Tiếng Anh</t>
        </is>
      </c>
      <c r="C593" s="3" t="inlineStr">
        <is>
          <t>Global Success</t>
        </is>
      </c>
      <c r="D593" s="3" t="inlineStr">
        <is>
          <t>Review 1</t>
        </is>
      </c>
      <c r="E593" s="3" t="inlineStr">
        <is>
          <t>Unit 1–4 và Review 1</t>
        </is>
      </c>
      <c r="F593" s="3" t="inlineStr">
        <is>
          <t>Review 1. Ôn tập Unit 1–4</t>
        </is>
      </c>
      <c r="G593" s="3" t="inlineStr">
        <is>
          <t>Đúng / Sai</t>
        </is>
      </c>
      <c r="H593" s="14" t="n">
        <v>2</v>
      </c>
      <c r="I593" s="3" t="inlineStr">
        <is>
          <t>Cơ bản</t>
        </is>
      </c>
      <c r="J593" s="3" t="inlineStr">
        <is>
          <t>"door" nghĩa là cái bàn. Đúng hay sai?</t>
        </is>
      </c>
      <c r="K593" s="3" t="inlineStr">
        <is>
          <t>A. Đúng | B. Sai</t>
        </is>
      </c>
      <c r="L593" s="3" t="inlineStr">
        <is>
          <t>B</t>
        </is>
      </c>
      <c r="M593" s="3" t="inlineStr">
        <is>
          <t>"door" là cái cửa; cái bàn là "desk".</t>
        </is>
      </c>
      <c r="N593" s="3" t="n"/>
      <c r="O593" s="14" t="n">
        <v>40</v>
      </c>
      <c r="P593" s="14">
        <f>INDEX(Khung_cap_do!$H$2:$H$6,H593)</f>
        <v/>
      </c>
      <c r="Q593" s="3" t="inlineStr">
        <is>
          <t>A1.SCHOOL.01</t>
        </is>
      </c>
      <c r="R593" s="3" t="inlineStr">
        <is>
          <t>TA.TUVUNG</t>
        </is>
      </c>
    </row>
    <row r="594">
      <c r="A594" s="3" t="inlineStr">
        <is>
          <t>ta1-gs-review1-q8</t>
        </is>
      </c>
      <c r="B594" s="3" t="inlineStr">
        <is>
          <t>Tiếng Anh</t>
        </is>
      </c>
      <c r="C594" s="3" t="inlineStr">
        <is>
          <t>Global Success</t>
        </is>
      </c>
      <c r="D594" s="3" t="inlineStr">
        <is>
          <t>Review 1</t>
        </is>
      </c>
      <c r="E594" s="3" t="inlineStr">
        <is>
          <t>Unit 1–4 và Review 1</t>
        </is>
      </c>
      <c r="F594" s="3" t="inlineStr">
        <is>
          <t>Review 1. Ôn tập Unit 1–4</t>
        </is>
      </c>
      <c r="G594" s="3" t="inlineStr">
        <is>
          <t>Chọn đáp án</t>
        </is>
      </c>
      <c r="H594" s="14" t="n">
        <v>2</v>
      </c>
      <c r="I594" s="3" t="inlineStr">
        <is>
          <t>Cơ bản</t>
        </is>
      </c>
      <c r="J594" s="3" t="inlineStr">
        <is>
          <t>Từ nào KHÔNG phải con vật?</t>
        </is>
      </c>
      <c r="K594" s="3" t="inlineStr">
        <is>
          <t>A. cat | B. dog | C. book | D. duck</t>
        </is>
      </c>
      <c r="L594" s="3" t="inlineStr">
        <is>
          <t>C</t>
        </is>
      </c>
      <c r="M594" s="3" t="inlineStr">
        <is>
          <t>"book" là quyển sách, không phải con vật.</t>
        </is>
      </c>
      <c r="N594" s="3" t="n"/>
      <c r="O594" s="14" t="n">
        <v>40</v>
      </c>
      <c r="P594" s="14">
        <f>INDEX(Khung_cap_do!$H$2:$H$6,H594)</f>
        <v/>
      </c>
      <c r="Q594" s="3" t="inlineStr">
        <is>
          <t>A1.ANIMAL.01</t>
        </is>
      </c>
      <c r="R594" s="3" t="inlineStr">
        <is>
          <t>TA.NHOMTU</t>
        </is>
      </c>
    </row>
    <row r="595">
      <c r="A595" s="3" t="inlineStr">
        <is>
          <t>ta1-gs-u05-q1</t>
        </is>
      </c>
      <c r="B595" s="3" t="inlineStr">
        <is>
          <t>Tiếng Anh</t>
        </is>
      </c>
      <c r="C595" s="3" t="inlineStr">
        <is>
          <t>Global Success</t>
        </is>
      </c>
      <c r="D595" s="3" t="inlineStr">
        <is>
          <t>Unit 5</t>
        </is>
      </c>
      <c r="E595" s="3" t="inlineStr">
        <is>
          <t>Unit 5–8 và Review 2</t>
        </is>
      </c>
      <c r="F595" s="3" t="inlineStr">
        <is>
          <t>Unit 5. At the fish and chip shop</t>
        </is>
      </c>
      <c r="G595" s="3" t="inlineStr">
        <is>
          <t>Chọn đáp án</t>
        </is>
      </c>
      <c r="H595" s="14" t="n">
        <v>1</v>
      </c>
      <c r="I595" s="3" t="inlineStr">
        <is>
          <t>Làm quen</t>
        </is>
      </c>
      <c r="J595" s="3" t="inlineStr">
        <is>
          <t>🐟 Đây là gì?</t>
        </is>
      </c>
      <c r="K595" s="3" t="inlineStr">
        <is>
          <t>A. fish | B. milk | C. chips</t>
        </is>
      </c>
      <c r="L595" s="3" t="inlineStr">
        <is>
          <t>A</t>
        </is>
      </c>
      <c r="M595" s="3" t="inlineStr">
        <is>
          <t>"fish" là con cá (cũng là món cá).</t>
        </is>
      </c>
      <c r="N595" s="3" t="n"/>
      <c r="O595" s="14" t="n">
        <v>30</v>
      </c>
      <c r="P595" s="14">
        <f>INDEX(Khung_cap_do!$H$2:$H$6,H595)</f>
        <v/>
      </c>
      <c r="Q595" s="3" t="inlineStr">
        <is>
          <t>A1.EXTRA.02</t>
        </is>
      </c>
      <c r="R595" s="3" t="inlineStr">
        <is>
          <t>TA.TUVUNG</t>
        </is>
      </c>
    </row>
    <row r="596">
      <c r="A596" s="3" t="inlineStr">
        <is>
          <t>ta1-gs-u05-q2</t>
        </is>
      </c>
      <c r="B596" s="3" t="inlineStr">
        <is>
          <t>Tiếng Anh</t>
        </is>
      </c>
      <c r="C596" s="3" t="inlineStr">
        <is>
          <t>Global Success</t>
        </is>
      </c>
      <c r="D596" s="3" t="inlineStr">
        <is>
          <t>Unit 5</t>
        </is>
      </c>
      <c r="E596" s="3" t="inlineStr">
        <is>
          <t>Unit 5–8 và Review 2</t>
        </is>
      </c>
      <c r="F596" s="3" t="inlineStr">
        <is>
          <t>Unit 5. At the fish and chip shop</t>
        </is>
      </c>
      <c r="G596" s="3" t="inlineStr">
        <is>
          <t>Chọn đáp án</t>
        </is>
      </c>
      <c r="H596" s="14" t="n">
        <v>1</v>
      </c>
      <c r="I596" s="3" t="inlineStr">
        <is>
          <t>Làm quen</t>
        </is>
      </c>
      <c r="J596" s="3" t="inlineStr">
        <is>
          <t>🥛 Đây là gì?</t>
        </is>
      </c>
      <c r="K596" s="3" t="inlineStr">
        <is>
          <t>A. milk | B. fish | C. chicken</t>
        </is>
      </c>
      <c r="L596" s="3" t="inlineStr">
        <is>
          <t>A</t>
        </is>
      </c>
      <c r="M596" s="3" t="inlineStr">
        <is>
          <t>"milk" là sữa.</t>
        </is>
      </c>
      <c r="N596" s="3" t="n"/>
      <c r="O596" s="14" t="n">
        <v>30</v>
      </c>
      <c r="P596" s="14">
        <f>INDEX(Khung_cap_do!$H$2:$H$6,H596)</f>
        <v/>
      </c>
      <c r="Q596" s="3" t="inlineStr">
        <is>
          <t>A1.EXTRA.02</t>
        </is>
      </c>
      <c r="R596" s="3" t="inlineStr">
        <is>
          <t>TA.TUVUNG</t>
        </is>
      </c>
    </row>
    <row r="597">
      <c r="A597" s="3" t="inlineStr">
        <is>
          <t>ta1-gs-u05-q3</t>
        </is>
      </c>
      <c r="B597" s="3" t="inlineStr">
        <is>
          <t>Tiếng Anh</t>
        </is>
      </c>
      <c r="C597" s="3" t="inlineStr">
        <is>
          <t>Global Success</t>
        </is>
      </c>
      <c r="D597" s="3" t="inlineStr">
        <is>
          <t>Unit 5</t>
        </is>
      </c>
      <c r="E597" s="3" t="inlineStr">
        <is>
          <t>Unit 5–8 và Review 2</t>
        </is>
      </c>
      <c r="F597" s="3" t="inlineStr">
        <is>
          <t>Unit 5. At the fish and chip shop</t>
        </is>
      </c>
      <c r="G597" s="3" t="inlineStr">
        <is>
          <t>Chọn đáp án</t>
        </is>
      </c>
      <c r="H597" s="14" t="n">
        <v>1</v>
      </c>
      <c r="I597" s="3" t="inlineStr">
        <is>
          <t>Làm quen</t>
        </is>
      </c>
      <c r="J597" s="3" t="inlineStr">
        <is>
          <t>🍟 Đây là gì?</t>
        </is>
      </c>
      <c r="K597" s="3" t="inlineStr">
        <is>
          <t>A. chips | B. chicken | C. milk</t>
        </is>
      </c>
      <c r="L597" s="3" t="inlineStr">
        <is>
          <t>A</t>
        </is>
      </c>
      <c r="M597" s="3" t="inlineStr">
        <is>
          <t>"chips" là khoai tây chiên.</t>
        </is>
      </c>
      <c r="N597" s="3" t="n"/>
      <c r="O597" s="14" t="n">
        <v>30</v>
      </c>
      <c r="P597" s="14">
        <f>INDEX(Khung_cap_do!$H$2:$H$6,H597)</f>
        <v/>
      </c>
      <c r="Q597" s="3" t="inlineStr">
        <is>
          <t>A1.EXTRA.02</t>
        </is>
      </c>
      <c r="R597" s="3" t="inlineStr">
        <is>
          <t>TA.TUVUNG</t>
        </is>
      </c>
    </row>
    <row r="598">
      <c r="A598" s="3" t="inlineStr">
        <is>
          <t>ta1-gs-u05-q4</t>
        </is>
      </c>
      <c r="B598" s="3" t="inlineStr">
        <is>
          <t>Tiếng Anh</t>
        </is>
      </c>
      <c r="C598" s="3" t="inlineStr">
        <is>
          <t>Global Success</t>
        </is>
      </c>
      <c r="D598" s="3" t="inlineStr">
        <is>
          <t>Unit 5</t>
        </is>
      </c>
      <c r="E598" s="3" t="inlineStr">
        <is>
          <t>Unit 5–8 và Review 2</t>
        </is>
      </c>
      <c r="F598" s="3" t="inlineStr">
        <is>
          <t>Unit 5. At the fish and chip shop</t>
        </is>
      </c>
      <c r="G598" s="3" t="inlineStr">
        <is>
          <t>Chọn đáp án</t>
        </is>
      </c>
      <c r="H598" s="14" t="n">
        <v>1</v>
      </c>
      <c r="I598" s="3" t="inlineStr">
        <is>
          <t>Làm quen</t>
        </is>
      </c>
      <c r="J598" s="3" t="inlineStr">
        <is>
          <t>🍗 Đây là gì?</t>
        </is>
      </c>
      <c r="K598" s="3" t="inlineStr">
        <is>
          <t>A. chicken | B. fish | C. chips</t>
        </is>
      </c>
      <c r="L598" s="3" t="inlineStr">
        <is>
          <t>A</t>
        </is>
      </c>
      <c r="M598" s="3" t="inlineStr">
        <is>
          <t>"chicken" là thịt gà.</t>
        </is>
      </c>
      <c r="N598" s="3" t="n"/>
      <c r="O598" s="14" t="n">
        <v>30</v>
      </c>
      <c r="P598" s="14">
        <f>INDEX(Khung_cap_do!$H$2:$H$6,H598)</f>
        <v/>
      </c>
      <c r="Q598" s="3" t="inlineStr">
        <is>
          <t>A1.EXTRA.02</t>
        </is>
      </c>
      <c r="R598" s="3" t="inlineStr">
        <is>
          <t>TA.TUVUNG</t>
        </is>
      </c>
    </row>
    <row r="599">
      <c r="A599" s="3" t="inlineStr">
        <is>
          <t>ta1-gs-u05-q5</t>
        </is>
      </c>
      <c r="B599" s="3" t="inlineStr">
        <is>
          <t>Tiếng Anh</t>
        </is>
      </c>
      <c r="C599" s="3" t="inlineStr">
        <is>
          <t>Global Success</t>
        </is>
      </c>
      <c r="D599" s="3" t="inlineStr">
        <is>
          <t>Unit 5</t>
        </is>
      </c>
      <c r="E599" s="3" t="inlineStr">
        <is>
          <t>Unit 5–8 và Review 2</t>
        </is>
      </c>
      <c r="F599" s="3" t="inlineStr">
        <is>
          <t>Unit 5. At the fish and chip shop</t>
        </is>
      </c>
      <c r="G599" s="3" t="inlineStr">
        <is>
          <t>Ghép cặp</t>
        </is>
      </c>
      <c r="H599" s="14" t="n">
        <v>2</v>
      </c>
      <c r="I599" s="3" t="inlineStr">
        <is>
          <t>Cơ bản</t>
        </is>
      </c>
      <c r="J599" s="3" t="inlineStr">
        <is>
          <t>Ghép từ tiếng Anh với nghĩa</t>
        </is>
      </c>
      <c r="K599" s="3" t="inlineStr">
        <is>
          <t>milk ↔ ? / fish ↔ ? / chips ↔ ?</t>
        </is>
      </c>
      <c r="L599" s="3" t="inlineStr">
        <is>
          <t>milk – sữa; fish – cá; chips – khoai tây chiên</t>
        </is>
      </c>
      <c r="M599" s="3" t="inlineStr">
        <is>
          <t>milk – sữa; fish – cá; chips – khoai tây chiên.</t>
        </is>
      </c>
      <c r="N599" s="3" t="n"/>
      <c r="O599" s="14" t="n">
        <v>55</v>
      </c>
      <c r="P599" s="14">
        <f>INDEX(Khung_cap_do!$H$2:$H$6,H599)</f>
        <v/>
      </c>
      <c r="Q599" s="3" t="inlineStr">
        <is>
          <t>A1.EXTRA.02</t>
        </is>
      </c>
      <c r="R599" s="3" t="inlineStr">
        <is>
          <t>TA.NOINGHIA</t>
        </is>
      </c>
    </row>
    <row r="600">
      <c r="A600" s="3" t="inlineStr">
        <is>
          <t>ta1-gs-u05-q6</t>
        </is>
      </c>
      <c r="B600" s="3" t="inlineStr">
        <is>
          <t>Tiếng Anh</t>
        </is>
      </c>
      <c r="C600" s="3" t="inlineStr">
        <is>
          <t>Global Success</t>
        </is>
      </c>
      <c r="D600" s="3" t="inlineStr">
        <is>
          <t>Unit 5</t>
        </is>
      </c>
      <c r="E600" s="3" t="inlineStr">
        <is>
          <t>Unit 5–8 và Review 2</t>
        </is>
      </c>
      <c r="F600" s="3" t="inlineStr">
        <is>
          <t>Unit 5. At the fish and chip shop</t>
        </is>
      </c>
      <c r="G600" s="3" t="inlineStr">
        <is>
          <t>Điền đáp án</t>
        </is>
      </c>
      <c r="H600" s="14" t="n">
        <v>2</v>
      </c>
      <c r="I600" s="3" t="inlineStr">
        <is>
          <t>Cơ bản</t>
        </is>
      </c>
      <c r="J600" s="3" t="inlineStr">
        <is>
          <t>Điền chữ cái còn thiếu: f_sh (🐟)</t>
        </is>
      </c>
      <c r="K600" s="3" t="inlineStr"/>
      <c r="L600" s="3" t="inlineStr">
        <is>
          <t>i / fish</t>
        </is>
      </c>
      <c r="M600" s="3" t="inlineStr">
        <is>
          <t>f + i + sh = fish.</t>
        </is>
      </c>
      <c r="N600" s="3" t="n"/>
      <c r="O600" s="14" t="n">
        <v>50</v>
      </c>
      <c r="P600" s="14">
        <f>INDEX(Khung_cap_do!$H$2:$H$6,H600)</f>
        <v/>
      </c>
      <c r="Q600" s="3" t="inlineStr">
        <is>
          <t>A1.ABC.02</t>
        </is>
      </c>
      <c r="R600" s="3" t="inlineStr">
        <is>
          <t>TA.CHUCAI</t>
        </is>
      </c>
    </row>
    <row r="601">
      <c r="A601" s="3" t="inlineStr">
        <is>
          <t>ta1-gs-u05-q7</t>
        </is>
      </c>
      <c r="B601" s="3" t="inlineStr">
        <is>
          <t>Tiếng Anh</t>
        </is>
      </c>
      <c r="C601" s="3" t="inlineStr">
        <is>
          <t>Global Success</t>
        </is>
      </c>
      <c r="D601" s="3" t="inlineStr">
        <is>
          <t>Unit 5</t>
        </is>
      </c>
      <c r="E601" s="3" t="inlineStr">
        <is>
          <t>Unit 5–8 và Review 2</t>
        </is>
      </c>
      <c r="F601" s="3" t="inlineStr">
        <is>
          <t>Unit 5. At the fish and chip shop</t>
        </is>
      </c>
      <c r="G601" s="3" t="inlineStr">
        <is>
          <t>Chọn nhiều đáp án</t>
        </is>
      </c>
      <c r="H601" s="14" t="n">
        <v>2</v>
      </c>
      <c r="I601" s="3" t="inlineStr">
        <is>
          <t>Cơ bản</t>
        </is>
      </c>
      <c r="J601" s="3" t="inlineStr">
        <is>
          <t>Chọn TẤT CẢ đồ ăn, đồ uống</t>
        </is>
      </c>
      <c r="K601" s="3" t="inlineStr">
        <is>
          <t>A. milk | B. chips | C. desk | D. chicken | E. door</t>
        </is>
      </c>
      <c r="L601" s="3" t="inlineStr">
        <is>
          <t>A, B, D</t>
        </is>
      </c>
      <c r="M601" s="3" t="inlineStr">
        <is>
          <t>milk, chips, chicken là đồ ăn uống.</t>
        </is>
      </c>
      <c r="N601" s="3" t="n"/>
      <c r="O601" s="14" t="n">
        <v>50</v>
      </c>
      <c r="P601" s="14">
        <f>INDEX(Khung_cap_do!$H$2:$H$6,H601)</f>
        <v/>
      </c>
      <c r="Q601" s="3" t="inlineStr">
        <is>
          <t>A1.EXTRA.02</t>
        </is>
      </c>
      <c r="R601" s="3" t="inlineStr">
        <is>
          <t>TA.NHOMTU</t>
        </is>
      </c>
    </row>
    <row r="602">
      <c r="A602" s="3" t="inlineStr">
        <is>
          <t>ta1-gs-u05-q8</t>
        </is>
      </c>
      <c r="B602" s="3" t="inlineStr">
        <is>
          <t>Tiếng Anh</t>
        </is>
      </c>
      <c r="C602" s="3" t="inlineStr">
        <is>
          <t>Global Success</t>
        </is>
      </c>
      <c r="D602" s="3" t="inlineStr">
        <is>
          <t>Unit 5</t>
        </is>
      </c>
      <c r="E602" s="3" t="inlineStr">
        <is>
          <t>Unit 5–8 và Review 2</t>
        </is>
      </c>
      <c r="F602" s="3" t="inlineStr">
        <is>
          <t>Unit 5. At the fish and chip shop</t>
        </is>
      </c>
      <c r="G602" s="3" t="inlineStr">
        <is>
          <t>Chọn đáp án</t>
        </is>
      </c>
      <c r="H602" s="14" t="n">
        <v>3</v>
      </c>
      <c r="I602" s="3" t="inlineStr">
        <is>
          <t>Vận dụng</t>
        </is>
      </c>
      <c r="J602" s="3" t="inlineStr">
        <is>
          <t>Em muốn uống sữa. Em nói:</t>
        </is>
      </c>
      <c r="K602" s="3" t="inlineStr">
        <is>
          <t>A. Milk, please! | B. Fish, please! | C. Chips, please!</t>
        </is>
      </c>
      <c r="L602" s="3" t="inlineStr">
        <is>
          <t>A</t>
        </is>
      </c>
      <c r="M602" s="3" t="inlineStr">
        <is>
          <t>"Milk, please!" = Cho em sữa ạ!</t>
        </is>
      </c>
      <c r="N602" s="3" t="inlineStr">
        <is>
          <t>"please" là lời nói lịch sự (làm ơn). Muốn sữa thì nói tên món "milk" rồi thêm "please": Milk, please!</t>
        </is>
      </c>
      <c r="O602" s="14" t="n">
        <v>50</v>
      </c>
      <c r="P602" s="14">
        <f>INDEX(Khung_cap_do!$H$2:$H$6,H602)</f>
        <v/>
      </c>
      <c r="Q602" s="3" t="inlineStr">
        <is>
          <t>A1.EXTRA.02</t>
        </is>
      </c>
      <c r="R602" s="3" t="inlineStr">
        <is>
          <t>TA.MAUCAU</t>
        </is>
      </c>
    </row>
    <row r="603">
      <c r="A603" s="3" t="inlineStr">
        <is>
          <t>ta1-gs-u06-q1</t>
        </is>
      </c>
      <c r="B603" s="3" t="inlineStr">
        <is>
          <t>Tiếng Anh</t>
        </is>
      </c>
      <c r="C603" s="3" t="inlineStr">
        <is>
          <t>Global Success</t>
        </is>
      </c>
      <c r="D603" s="3" t="inlineStr">
        <is>
          <t>Unit 6</t>
        </is>
      </c>
      <c r="E603" s="3" t="inlineStr">
        <is>
          <t>Unit 5–8 và Review 2</t>
        </is>
      </c>
      <c r="F603" s="3" t="inlineStr">
        <is>
          <t>Unit 6. In the classroom</t>
        </is>
      </c>
      <c r="G603" s="3" t="inlineStr">
        <is>
          <t>Chọn đáp án</t>
        </is>
      </c>
      <c r="H603" s="14" t="n">
        <v>1</v>
      </c>
      <c r="I603" s="3" t="inlineStr">
        <is>
          <t>Làm quen</t>
        </is>
      </c>
      <c r="J603" s="3" t="inlineStr">
        <is>
          <t>🔔 Đây là gì?</t>
        </is>
      </c>
      <c r="K603" s="3" t="inlineStr">
        <is>
          <t>A. bell | B. pen | C. red</t>
        </is>
      </c>
      <c r="L603" s="3" t="inlineStr">
        <is>
          <t>A</t>
        </is>
      </c>
      <c r="M603" s="3" t="inlineStr">
        <is>
          <t>"bell" là cái chuông.</t>
        </is>
      </c>
      <c r="N603" s="3" t="n"/>
      <c r="O603" s="14" t="n">
        <v>30</v>
      </c>
      <c r="P603" s="14">
        <f>INDEX(Khung_cap_do!$H$2:$H$6,H603)</f>
        <v/>
      </c>
      <c r="Q603" s="3" t="inlineStr">
        <is>
          <t>A1.SCHOOL.01</t>
        </is>
      </c>
      <c r="R603" s="3" t="inlineStr">
        <is>
          <t>TA.TUVUNG</t>
        </is>
      </c>
    </row>
    <row r="604">
      <c r="A604" s="3" t="inlineStr">
        <is>
          <t>ta1-gs-u06-q2</t>
        </is>
      </c>
      <c r="B604" s="3" t="inlineStr">
        <is>
          <t>Tiếng Anh</t>
        </is>
      </c>
      <c r="C604" s="3" t="inlineStr">
        <is>
          <t>Global Success</t>
        </is>
      </c>
      <c r="D604" s="3" t="inlineStr">
        <is>
          <t>Unit 6</t>
        </is>
      </c>
      <c r="E604" s="3" t="inlineStr">
        <is>
          <t>Unit 5–8 và Review 2</t>
        </is>
      </c>
      <c r="F604" s="3" t="inlineStr">
        <is>
          <t>Unit 6. In the classroom</t>
        </is>
      </c>
      <c r="G604" s="3" t="inlineStr">
        <is>
          <t>Chọn đáp án</t>
        </is>
      </c>
      <c r="H604" s="14" t="n">
        <v>1</v>
      </c>
      <c r="I604" s="3" t="inlineStr">
        <is>
          <t>Làm quen</t>
        </is>
      </c>
      <c r="J604" s="3" t="inlineStr">
        <is>
          <t>✏️ Đây là gì?</t>
        </is>
      </c>
      <c r="K604" s="3" t="inlineStr">
        <is>
          <t>A. pencil | B. pen | C. bell</t>
        </is>
      </c>
      <c r="L604" s="3" t="inlineStr">
        <is>
          <t>A</t>
        </is>
      </c>
      <c r="M604" s="3" t="inlineStr">
        <is>
          <t>"pencil" là bút chì.</t>
        </is>
      </c>
      <c r="N604" s="3" t="n"/>
      <c r="O604" s="14" t="n">
        <v>30</v>
      </c>
      <c r="P604" s="14">
        <f>INDEX(Khung_cap_do!$H$2:$H$6,H604)</f>
        <v/>
      </c>
      <c r="Q604" s="3" t="inlineStr">
        <is>
          <t>A1.SCHOOL.01</t>
        </is>
      </c>
      <c r="R604" s="3" t="inlineStr">
        <is>
          <t>TA.TUVUNG</t>
        </is>
      </c>
    </row>
    <row r="605">
      <c r="A605" s="3" t="inlineStr">
        <is>
          <t>ta1-gs-u06-q3</t>
        </is>
      </c>
      <c r="B605" s="3" t="inlineStr">
        <is>
          <t>Tiếng Anh</t>
        </is>
      </c>
      <c r="C605" s="3" t="inlineStr">
        <is>
          <t>Global Success</t>
        </is>
      </c>
      <c r="D605" s="3" t="inlineStr">
        <is>
          <t>Unit 6</t>
        </is>
      </c>
      <c r="E605" s="3" t="inlineStr">
        <is>
          <t>Unit 5–8 và Review 2</t>
        </is>
      </c>
      <c r="F605" s="3" t="inlineStr">
        <is>
          <t>Unit 6. In the classroom</t>
        </is>
      </c>
      <c r="G605" s="3" t="inlineStr">
        <is>
          <t>Chọn đáp án</t>
        </is>
      </c>
      <c r="H605" s="14" t="n">
        <v>1</v>
      </c>
      <c r="I605" s="3" t="inlineStr">
        <is>
          <t>Làm quen</t>
        </is>
      </c>
      <c r="J605" s="3" t="inlineStr">
        <is>
          <t>🖊️ Đây là gì?</t>
        </is>
      </c>
      <c r="K605" s="3" t="inlineStr">
        <is>
          <t>A. pen | B. pencil | C. bag</t>
        </is>
      </c>
      <c r="L605" s="3" t="inlineStr">
        <is>
          <t>A</t>
        </is>
      </c>
      <c r="M605" s="3" t="inlineStr">
        <is>
          <t>"pen" là bút bi.</t>
        </is>
      </c>
      <c r="N605" s="3" t="n"/>
      <c r="O605" s="14" t="n">
        <v>30</v>
      </c>
      <c r="P605" s="14">
        <f>INDEX(Khung_cap_do!$H$2:$H$6,H605)</f>
        <v/>
      </c>
      <c r="Q605" s="3" t="inlineStr">
        <is>
          <t>A1.SCHOOL.01</t>
        </is>
      </c>
      <c r="R605" s="3" t="inlineStr">
        <is>
          <t>TA.TUVUNG</t>
        </is>
      </c>
    </row>
    <row r="606">
      <c r="A606" s="3" t="inlineStr">
        <is>
          <t>ta1-gs-u06-q4</t>
        </is>
      </c>
      <c r="B606" s="3" t="inlineStr">
        <is>
          <t>Tiếng Anh</t>
        </is>
      </c>
      <c r="C606" s="3" t="inlineStr">
        <is>
          <t>Global Success</t>
        </is>
      </c>
      <c r="D606" s="3" t="inlineStr">
        <is>
          <t>Unit 6</t>
        </is>
      </c>
      <c r="E606" s="3" t="inlineStr">
        <is>
          <t>Unit 5–8 và Review 2</t>
        </is>
      </c>
      <c r="F606" s="3" t="inlineStr">
        <is>
          <t>Unit 6. In the classroom</t>
        </is>
      </c>
      <c r="G606" s="3" t="inlineStr">
        <is>
          <t>Chọn đáp án</t>
        </is>
      </c>
      <c r="H606" s="14" t="n">
        <v>1</v>
      </c>
      <c r="I606" s="3" t="inlineStr">
        <is>
          <t>Làm quen</t>
        </is>
      </c>
      <c r="J606" s="3" t="inlineStr">
        <is>
          <t>🔴 Màu này tiếng Anh là gì?</t>
        </is>
      </c>
      <c r="K606" s="3" t="inlineStr">
        <is>
          <t>A. red | B. pen | C. bell</t>
        </is>
      </c>
      <c r="L606" s="3" t="inlineStr">
        <is>
          <t>A</t>
        </is>
      </c>
      <c r="M606" s="3" t="inlineStr">
        <is>
          <t>"red" là màu đỏ.</t>
        </is>
      </c>
      <c r="N606" s="3" t="n"/>
      <c r="O606" s="14" t="n">
        <v>30</v>
      </c>
      <c r="P606" s="14">
        <f>INDEX(Khung_cap_do!$H$2:$H$6,H606)</f>
        <v/>
      </c>
      <c r="Q606" s="3" t="inlineStr">
        <is>
          <t>A1.COLOUR.01</t>
        </is>
      </c>
      <c r="R606" s="3" t="inlineStr">
        <is>
          <t>TA.TUVUNG</t>
        </is>
      </c>
    </row>
    <row r="607">
      <c r="A607" s="3" t="inlineStr">
        <is>
          <t>ta1-gs-u06-q5</t>
        </is>
      </c>
      <c r="B607" s="3" t="inlineStr">
        <is>
          <t>Tiếng Anh</t>
        </is>
      </c>
      <c r="C607" s="3" t="inlineStr">
        <is>
          <t>Global Success</t>
        </is>
      </c>
      <c r="D607" s="3" t="inlineStr">
        <is>
          <t>Unit 6</t>
        </is>
      </c>
      <c r="E607" s="3" t="inlineStr">
        <is>
          <t>Unit 5–8 và Review 2</t>
        </is>
      </c>
      <c r="F607" s="3" t="inlineStr">
        <is>
          <t>Unit 6. In the classroom</t>
        </is>
      </c>
      <c r="G607" s="3" t="inlineStr">
        <is>
          <t>Ghép cặp</t>
        </is>
      </c>
      <c r="H607" s="14" t="n">
        <v>2</v>
      </c>
      <c r="I607" s="3" t="inlineStr">
        <is>
          <t>Cơ bản</t>
        </is>
      </c>
      <c r="J607" s="3" t="inlineStr">
        <is>
          <t>Ghép từ tiếng Anh với nghĩa</t>
        </is>
      </c>
      <c r="K607" s="3" t="inlineStr">
        <is>
          <t>pen ↔ ? / pencil ↔ ? / bell ↔ ?</t>
        </is>
      </c>
      <c r="L607" s="3" t="inlineStr">
        <is>
          <t>pen – bút bi; pencil – bút chì; bell – cái chuông</t>
        </is>
      </c>
      <c r="M607" s="3" t="inlineStr">
        <is>
          <t>pen – bút bi; pencil – bút chì; bell – cái chuông.</t>
        </is>
      </c>
      <c r="N607" s="3" t="n"/>
      <c r="O607" s="14" t="n">
        <v>55</v>
      </c>
      <c r="P607" s="14">
        <f>INDEX(Khung_cap_do!$H$2:$H$6,H607)</f>
        <v/>
      </c>
      <c r="Q607" s="3" t="inlineStr">
        <is>
          <t>A1.SCHOOL.01</t>
        </is>
      </c>
      <c r="R607" s="3" t="inlineStr">
        <is>
          <t>TA.NOINGHIA</t>
        </is>
      </c>
    </row>
    <row r="608">
      <c r="A608" s="3" t="inlineStr">
        <is>
          <t>ta1-gs-u06-q6</t>
        </is>
      </c>
      <c r="B608" s="3" t="inlineStr">
        <is>
          <t>Tiếng Anh</t>
        </is>
      </c>
      <c r="C608" s="3" t="inlineStr">
        <is>
          <t>Global Success</t>
        </is>
      </c>
      <c r="D608" s="3" t="inlineStr">
        <is>
          <t>Unit 6</t>
        </is>
      </c>
      <c r="E608" s="3" t="inlineStr">
        <is>
          <t>Unit 5–8 và Review 2</t>
        </is>
      </c>
      <c r="F608" s="3" t="inlineStr">
        <is>
          <t>Unit 6. In the classroom</t>
        </is>
      </c>
      <c r="G608" s="3" t="inlineStr">
        <is>
          <t>Điền đáp án</t>
        </is>
      </c>
      <c r="H608" s="14" t="n">
        <v>2</v>
      </c>
      <c r="I608" s="3" t="inlineStr">
        <is>
          <t>Cơ bản</t>
        </is>
      </c>
      <c r="J608" s="3" t="inlineStr">
        <is>
          <t>Điền chữ cái còn thiếu: p_n (🖊️)</t>
        </is>
      </c>
      <c r="K608" s="3" t="inlineStr"/>
      <c r="L608" s="3" t="inlineStr">
        <is>
          <t>e / pen</t>
        </is>
      </c>
      <c r="M608" s="3" t="inlineStr">
        <is>
          <t>p + e + n = pen.</t>
        </is>
      </c>
      <c r="N608" s="3" t="n"/>
      <c r="O608" s="14" t="n">
        <v>50</v>
      </c>
      <c r="P608" s="14">
        <f>INDEX(Khung_cap_do!$H$2:$H$6,H608)</f>
        <v/>
      </c>
      <c r="Q608" s="3" t="inlineStr">
        <is>
          <t>A1.ABC.02</t>
        </is>
      </c>
      <c r="R608" s="3" t="inlineStr">
        <is>
          <t>TA.CHUCAI</t>
        </is>
      </c>
    </row>
    <row r="609">
      <c r="A609" s="3" t="inlineStr">
        <is>
          <t>ta1-gs-u06-q7</t>
        </is>
      </c>
      <c r="B609" s="3" t="inlineStr">
        <is>
          <t>Tiếng Anh</t>
        </is>
      </c>
      <c r="C609" s="3" t="inlineStr">
        <is>
          <t>Global Success</t>
        </is>
      </c>
      <c r="D609" s="3" t="inlineStr">
        <is>
          <t>Unit 6</t>
        </is>
      </c>
      <c r="E609" s="3" t="inlineStr">
        <is>
          <t>Unit 5–8 và Review 2</t>
        </is>
      </c>
      <c r="F609" s="3" t="inlineStr">
        <is>
          <t>Unit 6. In the classroom</t>
        </is>
      </c>
      <c r="G609" s="3" t="inlineStr">
        <is>
          <t>Chọn nhiều đáp án</t>
        </is>
      </c>
      <c r="H609" s="14" t="n">
        <v>2</v>
      </c>
      <c r="I609" s="3" t="inlineStr">
        <is>
          <t>Cơ bản</t>
        </is>
      </c>
      <c r="J609" s="3" t="inlineStr">
        <is>
          <t>Chọn TẤT CẢ đồ dùng học tập</t>
        </is>
      </c>
      <c r="K609" s="3" t="inlineStr">
        <is>
          <t>A. pen | B. pencil | C. duck | D. book | E. cake</t>
        </is>
      </c>
      <c r="L609" s="3" t="inlineStr">
        <is>
          <t>A, B, D</t>
        </is>
      </c>
      <c r="M609" s="3" t="inlineStr">
        <is>
          <t>pen, pencil, book là đồ dùng học tập.</t>
        </is>
      </c>
      <c r="N609" s="3" t="n"/>
      <c r="O609" s="14" t="n">
        <v>50</v>
      </c>
      <c r="P609" s="14">
        <f>INDEX(Khung_cap_do!$H$2:$H$6,H609)</f>
        <v/>
      </c>
      <c r="Q609" s="3" t="inlineStr">
        <is>
          <t>A1.SCHOOL.01</t>
        </is>
      </c>
      <c r="R609" s="3" t="inlineStr">
        <is>
          <t>TA.NHOMTU</t>
        </is>
      </c>
    </row>
    <row r="610">
      <c r="A610" s="3" t="inlineStr">
        <is>
          <t>ta1-gs-u06-q8</t>
        </is>
      </c>
      <c r="B610" s="3" t="inlineStr">
        <is>
          <t>Tiếng Anh</t>
        </is>
      </c>
      <c r="C610" s="3" t="inlineStr">
        <is>
          <t>Global Success</t>
        </is>
      </c>
      <c r="D610" s="3" t="inlineStr">
        <is>
          <t>Unit 6</t>
        </is>
      </c>
      <c r="E610" s="3" t="inlineStr">
        <is>
          <t>Unit 5–8 và Review 2</t>
        </is>
      </c>
      <c r="F610" s="3" t="inlineStr">
        <is>
          <t>Unit 6. In the classroom</t>
        </is>
      </c>
      <c r="G610" s="3" t="inlineStr">
        <is>
          <t>Chọn đáp án</t>
        </is>
      </c>
      <c r="H610" s="14" t="n">
        <v>3</v>
      </c>
      <c r="I610" s="3" t="inlineStr">
        <is>
          <t>Vận dụng</t>
        </is>
      </c>
      <c r="J610" s="3" t="inlineStr">
        <is>
          <t>"a red pen" nghĩa là gì?</t>
        </is>
      </c>
      <c r="K610" s="3" t="inlineStr">
        <is>
          <t>A. một cái bút bi màu đỏ | B. một cái chuông | C. một quyển sách đỏ</t>
        </is>
      </c>
      <c r="L610" s="3" t="inlineStr">
        <is>
          <t>A</t>
        </is>
      </c>
      <c r="M610" s="3" t="inlineStr">
        <is>
          <t>"red" = màu đỏ, "pen" = bút bi.</t>
        </is>
      </c>
      <c r="N610" s="3" t="inlineStr">
        <is>
          <t>Trong tiếng Anh, từ chỉ màu đứng TRƯỚC đồ vật: "red pen". Tiếng Việt nói ngược lại: "bút bi màu đỏ".</t>
        </is>
      </c>
      <c r="O610" s="14" t="n">
        <v>50</v>
      </c>
      <c r="P610" s="14">
        <f>INDEX(Khung_cap_do!$H$2:$H$6,H610)</f>
        <v/>
      </c>
      <c r="Q610" s="3" t="inlineStr">
        <is>
          <t>A1.COLOUR.01</t>
        </is>
      </c>
      <c r="R610" s="3" t="inlineStr">
        <is>
          <t>TA.TUVUNG</t>
        </is>
      </c>
    </row>
    <row r="611">
      <c r="A611" s="3" t="inlineStr">
        <is>
          <t>ta1-gs-u07-q1</t>
        </is>
      </c>
      <c r="B611" s="3" t="inlineStr">
        <is>
          <t>Tiếng Anh</t>
        </is>
      </c>
      <c r="C611" s="3" t="inlineStr">
        <is>
          <t>Global Success</t>
        </is>
      </c>
      <c r="D611" s="3" t="inlineStr">
        <is>
          <t>Unit 7</t>
        </is>
      </c>
      <c r="E611" s="3" t="inlineStr">
        <is>
          <t>Unit 5–8 và Review 2</t>
        </is>
      </c>
      <c r="F611" s="3" t="inlineStr">
        <is>
          <t>Unit 7. In the garden</t>
        </is>
      </c>
      <c r="G611" s="3" t="inlineStr">
        <is>
          <t>Chọn đáp án</t>
        </is>
      </c>
      <c r="H611" s="14" t="n">
        <v>1</v>
      </c>
      <c r="I611" s="3" t="inlineStr">
        <is>
          <t>Làm quen</t>
        </is>
      </c>
      <c r="J611" s="3" t="inlineStr">
        <is>
          <t>🐐 Đây là gì?</t>
        </is>
      </c>
      <c r="K611" s="3" t="inlineStr">
        <is>
          <t>A. goat | B. girl | C. gate</t>
        </is>
      </c>
      <c r="L611" s="3" t="inlineStr">
        <is>
          <t>A</t>
        </is>
      </c>
      <c r="M611" s="3" t="inlineStr">
        <is>
          <t>"goat" là con dê.</t>
        </is>
      </c>
      <c r="N611" s="3" t="n"/>
      <c r="O611" s="14" t="n">
        <v>30</v>
      </c>
      <c r="P611" s="14">
        <f>INDEX(Khung_cap_do!$H$2:$H$6,H611)</f>
        <v/>
      </c>
      <c r="Q611" s="3" t="inlineStr">
        <is>
          <t>A1.ANIMAL.01</t>
        </is>
      </c>
      <c r="R611" s="3" t="inlineStr">
        <is>
          <t>TA.TUVUNG</t>
        </is>
      </c>
    </row>
    <row r="612">
      <c r="A612" s="3" t="inlineStr">
        <is>
          <t>ta1-gs-u07-q2</t>
        </is>
      </c>
      <c r="B612" s="3" t="inlineStr">
        <is>
          <t>Tiếng Anh</t>
        </is>
      </c>
      <c r="C612" s="3" t="inlineStr">
        <is>
          <t>Global Success</t>
        </is>
      </c>
      <c r="D612" s="3" t="inlineStr">
        <is>
          <t>Unit 7</t>
        </is>
      </c>
      <c r="E612" s="3" t="inlineStr">
        <is>
          <t>Unit 5–8 và Review 2</t>
        </is>
      </c>
      <c r="F612" s="3" t="inlineStr">
        <is>
          <t>Unit 7. In the garden</t>
        </is>
      </c>
      <c r="G612" s="3" t="inlineStr">
        <is>
          <t>Chọn đáp án</t>
        </is>
      </c>
      <c r="H612" s="14" t="n">
        <v>1</v>
      </c>
      <c r="I612" s="3" t="inlineStr">
        <is>
          <t>Làm quen</t>
        </is>
      </c>
      <c r="J612" s="3" t="inlineStr">
        <is>
          <t>👧 Đây là ai?</t>
        </is>
      </c>
      <c r="K612" s="3" t="inlineStr">
        <is>
          <t>A. girl | B. goat | C. garden</t>
        </is>
      </c>
      <c r="L612" s="3" t="inlineStr">
        <is>
          <t>A</t>
        </is>
      </c>
      <c r="M612" s="3" t="inlineStr">
        <is>
          <t>"girl" là bé gái.</t>
        </is>
      </c>
      <c r="N612" s="3" t="n"/>
      <c r="O612" s="14" t="n">
        <v>30</v>
      </c>
      <c r="P612" s="14">
        <f>INDEX(Khung_cap_do!$H$2:$H$6,H612)</f>
        <v/>
      </c>
      <c r="Q612" s="3" t="inlineStr">
        <is>
          <t>A1.FAMILY.01</t>
        </is>
      </c>
      <c r="R612" s="3" t="inlineStr">
        <is>
          <t>TA.TUVUNG</t>
        </is>
      </c>
    </row>
    <row r="613">
      <c r="A613" s="3" t="inlineStr">
        <is>
          <t>ta1-gs-u07-q3</t>
        </is>
      </c>
      <c r="B613" s="3" t="inlineStr">
        <is>
          <t>Tiếng Anh</t>
        </is>
      </c>
      <c r="C613" s="3" t="inlineStr">
        <is>
          <t>Global Success</t>
        </is>
      </c>
      <c r="D613" s="3" t="inlineStr">
        <is>
          <t>Unit 7</t>
        </is>
      </c>
      <c r="E613" s="3" t="inlineStr">
        <is>
          <t>Unit 5–8 và Review 2</t>
        </is>
      </c>
      <c r="F613" s="3" t="inlineStr">
        <is>
          <t>Unit 7. In the garden</t>
        </is>
      </c>
      <c r="G613" s="3" t="inlineStr">
        <is>
          <t>Chọn đáp án</t>
        </is>
      </c>
      <c r="H613" s="14" t="n">
        <v>1</v>
      </c>
      <c r="I613" s="3" t="inlineStr">
        <is>
          <t>Làm quen</t>
        </is>
      </c>
      <c r="J613" s="3" t="inlineStr">
        <is>
          <t>🌷🌳🌻 Nơi trồng hoa, trồng cây là gì?</t>
        </is>
      </c>
      <c r="K613" s="3" t="inlineStr">
        <is>
          <t>A. garden | B. gate | C. goat</t>
        </is>
      </c>
      <c r="L613" s="3" t="inlineStr">
        <is>
          <t>A</t>
        </is>
      </c>
      <c r="M613" s="3" t="inlineStr">
        <is>
          <t>"garden" là khu vườn.</t>
        </is>
      </c>
      <c r="N613" s="3" t="n"/>
      <c r="O613" s="14" t="n">
        <v>30</v>
      </c>
      <c r="P613" s="14">
        <f>INDEX(Khung_cap_do!$H$2:$H$6,H613)</f>
        <v/>
      </c>
      <c r="Q613" s="3" t="inlineStr">
        <is>
          <t>A1.ABC.02</t>
        </is>
      </c>
      <c r="R613" s="3" t="inlineStr">
        <is>
          <t>TA.TUVUNG</t>
        </is>
      </c>
    </row>
    <row r="614">
      <c r="A614" s="3" t="inlineStr">
        <is>
          <t>ta1-gs-u07-q4</t>
        </is>
      </c>
      <c r="B614" s="3" t="inlineStr">
        <is>
          <t>Tiếng Anh</t>
        </is>
      </c>
      <c r="C614" s="3" t="inlineStr">
        <is>
          <t>Global Success</t>
        </is>
      </c>
      <c r="D614" s="3" t="inlineStr">
        <is>
          <t>Unit 7</t>
        </is>
      </c>
      <c r="E614" s="3" t="inlineStr">
        <is>
          <t>Unit 5–8 và Review 2</t>
        </is>
      </c>
      <c r="F614" s="3" t="inlineStr">
        <is>
          <t>Unit 7. In the garden</t>
        </is>
      </c>
      <c r="G614" s="3" t="inlineStr">
        <is>
          <t>Chọn đáp án</t>
        </is>
      </c>
      <c r="H614" s="14" t="n">
        <v>2</v>
      </c>
      <c r="I614" s="3" t="inlineStr">
        <is>
          <t>Cơ bản</t>
        </is>
      </c>
      <c r="J614" s="3" t="inlineStr">
        <is>
          <t>"gate" nghĩa là gì?</t>
        </is>
      </c>
      <c r="K614" s="3" t="inlineStr">
        <is>
          <t>A. cái cổng | B. khu vườn | C. con dê</t>
        </is>
      </c>
      <c r="L614" s="3" t="inlineStr">
        <is>
          <t>A</t>
        </is>
      </c>
      <c r="M614" s="3" t="inlineStr">
        <is>
          <t>"gate" là cái cổng.</t>
        </is>
      </c>
      <c r="N614" s="3" t="n"/>
      <c r="O614" s="14" t="n">
        <v>40</v>
      </c>
      <c r="P614" s="14">
        <f>INDEX(Khung_cap_do!$H$2:$H$6,H614)</f>
        <v/>
      </c>
      <c r="Q614" s="3" t="inlineStr">
        <is>
          <t>A1.ABC.02</t>
        </is>
      </c>
      <c r="R614" s="3" t="inlineStr">
        <is>
          <t>TA.TUVUNG</t>
        </is>
      </c>
    </row>
    <row r="615">
      <c r="A615" s="3" t="inlineStr">
        <is>
          <t>ta1-gs-u07-q5</t>
        </is>
      </c>
      <c r="B615" s="3" t="inlineStr">
        <is>
          <t>Tiếng Anh</t>
        </is>
      </c>
      <c r="C615" s="3" t="inlineStr">
        <is>
          <t>Global Success</t>
        </is>
      </c>
      <c r="D615" s="3" t="inlineStr">
        <is>
          <t>Unit 7</t>
        </is>
      </c>
      <c r="E615" s="3" t="inlineStr">
        <is>
          <t>Unit 5–8 và Review 2</t>
        </is>
      </c>
      <c r="F615" s="3" t="inlineStr">
        <is>
          <t>Unit 7. In the garden</t>
        </is>
      </c>
      <c r="G615" s="3" t="inlineStr">
        <is>
          <t>Ghép cặp</t>
        </is>
      </c>
      <c r="H615" s="14" t="n">
        <v>2</v>
      </c>
      <c r="I615" s="3" t="inlineStr">
        <is>
          <t>Cơ bản</t>
        </is>
      </c>
      <c r="J615" s="3" t="inlineStr">
        <is>
          <t>Ghép từ tiếng Anh với nghĩa</t>
        </is>
      </c>
      <c r="K615" s="3" t="inlineStr">
        <is>
          <t>goat ↔ ? / girl ↔ ? / garden ↔ ?</t>
        </is>
      </c>
      <c r="L615" s="3" t="inlineStr">
        <is>
          <t>goat – con dê; girl – bé gái; garden – khu vườn</t>
        </is>
      </c>
      <c r="M615" s="3" t="inlineStr">
        <is>
          <t>goat – con dê; girl – bé gái; garden – khu vườn.</t>
        </is>
      </c>
      <c r="N615" s="3" t="n"/>
      <c r="O615" s="14" t="n">
        <v>55</v>
      </c>
      <c r="P615" s="14">
        <f>INDEX(Khung_cap_do!$H$2:$H$6,H615)</f>
        <v/>
      </c>
      <c r="Q615" s="3" t="inlineStr">
        <is>
          <t>A1.ABC.02</t>
        </is>
      </c>
      <c r="R615" s="3" t="inlineStr">
        <is>
          <t>TA.NOINGHIA</t>
        </is>
      </c>
    </row>
    <row r="616">
      <c r="A616" s="3" t="inlineStr">
        <is>
          <t>ta1-gs-u07-q6</t>
        </is>
      </c>
      <c r="B616" s="3" t="inlineStr">
        <is>
          <t>Tiếng Anh</t>
        </is>
      </c>
      <c r="C616" s="3" t="inlineStr">
        <is>
          <t>Global Success</t>
        </is>
      </c>
      <c r="D616" s="3" t="inlineStr">
        <is>
          <t>Unit 7</t>
        </is>
      </c>
      <c r="E616" s="3" t="inlineStr">
        <is>
          <t>Unit 5–8 và Review 2</t>
        </is>
      </c>
      <c r="F616" s="3" t="inlineStr">
        <is>
          <t>Unit 7. In the garden</t>
        </is>
      </c>
      <c r="G616" s="3" t="inlineStr">
        <is>
          <t>Điền đáp án</t>
        </is>
      </c>
      <c r="H616" s="14" t="n">
        <v>2</v>
      </c>
      <c r="I616" s="3" t="inlineStr">
        <is>
          <t>Cơ bản</t>
        </is>
      </c>
      <c r="J616" s="3" t="inlineStr">
        <is>
          <t>Điền chữ cái còn thiếu: _oat (🐐 con dê)</t>
        </is>
      </c>
      <c r="K616" s="3" t="inlineStr"/>
      <c r="L616" s="3" t="inlineStr">
        <is>
          <t>g / goat</t>
        </is>
      </c>
      <c r="M616" s="3" t="inlineStr">
        <is>
          <t>g + oat = goat.</t>
        </is>
      </c>
      <c r="N616" s="3" t="n"/>
      <c r="O616" s="14" t="n">
        <v>50</v>
      </c>
      <c r="P616" s="14">
        <f>INDEX(Khung_cap_do!$H$2:$H$6,H616)</f>
        <v/>
      </c>
      <c r="Q616" s="3" t="inlineStr">
        <is>
          <t>A1.ABC.02</t>
        </is>
      </c>
      <c r="R616" s="3" t="inlineStr">
        <is>
          <t>TA.CHUCAI</t>
        </is>
      </c>
    </row>
    <row r="617">
      <c r="A617" s="3" t="inlineStr">
        <is>
          <t>ta1-gs-u07-q7</t>
        </is>
      </c>
      <c r="B617" s="3" t="inlineStr">
        <is>
          <t>Tiếng Anh</t>
        </is>
      </c>
      <c r="C617" s="3" t="inlineStr">
        <is>
          <t>Global Success</t>
        </is>
      </c>
      <c r="D617" s="3" t="inlineStr">
        <is>
          <t>Unit 7</t>
        </is>
      </c>
      <c r="E617" s="3" t="inlineStr">
        <is>
          <t>Unit 5–8 và Review 2</t>
        </is>
      </c>
      <c r="F617" s="3" t="inlineStr">
        <is>
          <t>Unit 7. In the garden</t>
        </is>
      </c>
      <c r="G617" s="3" t="inlineStr">
        <is>
          <t>Chọn nhiều đáp án</t>
        </is>
      </c>
      <c r="H617" s="14" t="n">
        <v>2</v>
      </c>
      <c r="I617" s="3" t="inlineStr">
        <is>
          <t>Cơ bản</t>
        </is>
      </c>
      <c r="J617" s="3" t="inlineStr">
        <is>
          <t>Chọn TẤT CẢ các từ bắt đầu bằng chữ g</t>
        </is>
      </c>
      <c r="K617" s="3" t="inlineStr">
        <is>
          <t>A. girl | B. gate | C. cake | D. goat | E. dog</t>
        </is>
      </c>
      <c r="L617" s="3" t="inlineStr">
        <is>
          <t>A, B, D</t>
        </is>
      </c>
      <c r="M617" s="3" t="inlineStr">
        <is>
          <t>girl, gate, goat bắt đầu bằng g.</t>
        </is>
      </c>
      <c r="N617" s="3" t="n"/>
      <c r="O617" s="14" t="n">
        <v>50</v>
      </c>
      <c r="P617" s="14">
        <f>INDEX(Khung_cap_do!$H$2:$H$6,H617)</f>
        <v/>
      </c>
      <c r="Q617" s="3" t="inlineStr">
        <is>
          <t>A1.ABC.02</t>
        </is>
      </c>
      <c r="R617" s="3" t="inlineStr">
        <is>
          <t>TA.NHOMTU</t>
        </is>
      </c>
    </row>
    <row r="618">
      <c r="A618" s="3" t="inlineStr">
        <is>
          <t>ta1-gs-u07-q8</t>
        </is>
      </c>
      <c r="B618" s="3" t="inlineStr">
        <is>
          <t>Tiếng Anh</t>
        </is>
      </c>
      <c r="C618" s="3" t="inlineStr">
        <is>
          <t>Global Success</t>
        </is>
      </c>
      <c r="D618" s="3" t="inlineStr">
        <is>
          <t>Unit 7</t>
        </is>
      </c>
      <c r="E618" s="3" t="inlineStr">
        <is>
          <t>Unit 5–8 và Review 2</t>
        </is>
      </c>
      <c r="F618" s="3" t="inlineStr">
        <is>
          <t>Unit 7. In the garden</t>
        </is>
      </c>
      <c r="G618" s="3" t="inlineStr">
        <is>
          <t>Đúng / Sai</t>
        </is>
      </c>
      <c r="H618" s="14" t="n">
        <v>3</v>
      </c>
      <c r="I618" s="3" t="inlineStr">
        <is>
          <t>Vận dụng</t>
        </is>
      </c>
      <c r="J618" s="3" t="inlineStr">
        <is>
          <t>Từ "dog" bắt đầu bằng chữ g. Đúng hay sai?</t>
        </is>
      </c>
      <c r="K618" s="3" t="inlineStr">
        <is>
          <t>A. Đúng | B. Sai</t>
        </is>
      </c>
      <c r="L618" s="3" t="inlineStr">
        <is>
          <t>B</t>
        </is>
      </c>
      <c r="M618" s="3" t="inlineStr">
        <is>
          <t>"dog" bắt đầu bằng d; chữ g nằm ở CUỐI từ.</t>
        </is>
      </c>
      <c r="N618" s="3" t="inlineStr">
        <is>
          <t>Đọc từng chữ: d – o – g. Chữ ĐẦU là d, chữ g đứng cuối. Vậy câu nói sai.</t>
        </is>
      </c>
      <c r="O618" s="14" t="n">
        <v>50</v>
      </c>
      <c r="P618" s="14">
        <f>INDEX(Khung_cap_do!$H$2:$H$6,H618)</f>
        <v/>
      </c>
      <c r="Q618" s="3" t="inlineStr">
        <is>
          <t>A1.ABC.02</t>
        </is>
      </c>
      <c r="R618" s="3" t="inlineStr">
        <is>
          <t>TA.CHUCAI</t>
        </is>
      </c>
    </row>
    <row r="619">
      <c r="A619" s="3" t="inlineStr">
        <is>
          <t>ta1-gs-u08-q1</t>
        </is>
      </c>
      <c r="B619" s="3" t="inlineStr">
        <is>
          <t>Tiếng Anh</t>
        </is>
      </c>
      <c r="C619" s="3" t="inlineStr">
        <is>
          <t>Global Success</t>
        </is>
      </c>
      <c r="D619" s="3" t="inlineStr">
        <is>
          <t>Unit 8</t>
        </is>
      </c>
      <c r="E619" s="3" t="inlineStr">
        <is>
          <t>Unit 5–8 và Review 2</t>
        </is>
      </c>
      <c r="F619" s="3" t="inlineStr">
        <is>
          <t>Unit 8. In the park</t>
        </is>
      </c>
      <c r="G619" s="3" t="inlineStr">
        <is>
          <t>Chọn đáp án</t>
        </is>
      </c>
      <c r="H619" s="14" t="n">
        <v>1</v>
      </c>
      <c r="I619" s="3" t="inlineStr">
        <is>
          <t>Làm quen</t>
        </is>
      </c>
      <c r="J619" s="3" t="inlineStr">
        <is>
          <t>🐴 Đây là gì?</t>
        </is>
      </c>
      <c r="K619" s="3" t="inlineStr">
        <is>
          <t>A. horse | B. hand | C. hair</t>
        </is>
      </c>
      <c r="L619" s="3" t="inlineStr">
        <is>
          <t>A</t>
        </is>
      </c>
      <c r="M619" s="3" t="inlineStr">
        <is>
          <t>"horse" là con ngựa.</t>
        </is>
      </c>
      <c r="N619" s="3" t="n"/>
      <c r="O619" s="14" t="n">
        <v>30</v>
      </c>
      <c r="P619" s="14">
        <f>INDEX(Khung_cap_do!$H$2:$H$6,H619)</f>
        <v/>
      </c>
      <c r="Q619" s="3" t="inlineStr">
        <is>
          <t>A1.ANIMAL.01</t>
        </is>
      </c>
      <c r="R619" s="3" t="inlineStr">
        <is>
          <t>TA.TUVUNG</t>
        </is>
      </c>
    </row>
    <row r="620">
      <c r="A620" s="3" t="inlineStr">
        <is>
          <t>ta1-gs-u08-q2</t>
        </is>
      </c>
      <c r="B620" s="3" t="inlineStr">
        <is>
          <t>Tiếng Anh</t>
        </is>
      </c>
      <c r="C620" s="3" t="inlineStr">
        <is>
          <t>Global Success</t>
        </is>
      </c>
      <c r="D620" s="3" t="inlineStr">
        <is>
          <t>Unit 8</t>
        </is>
      </c>
      <c r="E620" s="3" t="inlineStr">
        <is>
          <t>Unit 5–8 và Review 2</t>
        </is>
      </c>
      <c r="F620" s="3" t="inlineStr">
        <is>
          <t>Unit 8. In the park</t>
        </is>
      </c>
      <c r="G620" s="3" t="inlineStr">
        <is>
          <t>Chọn đáp án</t>
        </is>
      </c>
      <c r="H620" s="14" t="n">
        <v>1</v>
      </c>
      <c r="I620" s="3" t="inlineStr">
        <is>
          <t>Làm quen</t>
        </is>
      </c>
      <c r="J620" s="3" t="inlineStr">
        <is>
          <t>✋ Đây là gì?</t>
        </is>
      </c>
      <c r="K620" s="3" t="inlineStr">
        <is>
          <t>A. hand | B. head | C. hat</t>
        </is>
      </c>
      <c r="L620" s="3" t="inlineStr">
        <is>
          <t>A</t>
        </is>
      </c>
      <c r="M620" s="3" t="inlineStr">
        <is>
          <t>"hand" là bàn tay.</t>
        </is>
      </c>
      <c r="N620" s="3" t="n"/>
      <c r="O620" s="14" t="n">
        <v>30</v>
      </c>
      <c r="P620" s="14">
        <f>INDEX(Khung_cap_do!$H$2:$H$6,H620)</f>
        <v/>
      </c>
      <c r="Q620" s="3" t="inlineStr">
        <is>
          <t>A1.EXTRA.03</t>
        </is>
      </c>
      <c r="R620" s="3" t="inlineStr">
        <is>
          <t>TA.TUVUNG</t>
        </is>
      </c>
    </row>
    <row r="621">
      <c r="A621" s="3" t="inlineStr">
        <is>
          <t>ta1-gs-u08-q3</t>
        </is>
      </c>
      <c r="B621" s="3" t="inlineStr">
        <is>
          <t>Tiếng Anh</t>
        </is>
      </c>
      <c r="C621" s="3" t="inlineStr">
        <is>
          <t>Global Success</t>
        </is>
      </c>
      <c r="D621" s="3" t="inlineStr">
        <is>
          <t>Unit 8</t>
        </is>
      </c>
      <c r="E621" s="3" t="inlineStr">
        <is>
          <t>Unit 5–8 và Review 2</t>
        </is>
      </c>
      <c r="F621" s="3" t="inlineStr">
        <is>
          <t>Unit 8. In the park</t>
        </is>
      </c>
      <c r="G621" s="3" t="inlineStr">
        <is>
          <t>Chọn đáp án</t>
        </is>
      </c>
      <c r="H621" s="14" t="n">
        <v>1</v>
      </c>
      <c r="I621" s="3" t="inlineStr">
        <is>
          <t>Làm quen</t>
        </is>
      </c>
      <c r="J621" s="3" t="inlineStr">
        <is>
          <t>"head" là bộ phận nào?</t>
        </is>
      </c>
      <c r="K621" s="3" t="inlineStr">
        <is>
          <t>A. cái đầu | B. bàn tay | C. mái tóc</t>
        </is>
      </c>
      <c r="L621" s="3" t="inlineStr">
        <is>
          <t>A</t>
        </is>
      </c>
      <c r="M621" s="3" t="inlineStr">
        <is>
          <t>"head" là cái đầu.</t>
        </is>
      </c>
      <c r="N621" s="3" t="n"/>
      <c r="O621" s="14" t="n">
        <v>30</v>
      </c>
      <c r="P621" s="14">
        <f>INDEX(Khung_cap_do!$H$2:$H$6,H621)</f>
        <v/>
      </c>
      <c r="Q621" s="3" t="inlineStr">
        <is>
          <t>A1.EXTRA.03</t>
        </is>
      </c>
      <c r="R621" s="3" t="inlineStr">
        <is>
          <t>TA.TUVUNG</t>
        </is>
      </c>
    </row>
    <row r="622">
      <c r="A622" s="3" t="inlineStr">
        <is>
          <t>ta1-gs-u08-q4</t>
        </is>
      </c>
      <c r="B622" s="3" t="inlineStr">
        <is>
          <t>Tiếng Anh</t>
        </is>
      </c>
      <c r="C622" s="3" t="inlineStr">
        <is>
          <t>Global Success</t>
        </is>
      </c>
      <c r="D622" s="3" t="inlineStr">
        <is>
          <t>Unit 8</t>
        </is>
      </c>
      <c r="E622" s="3" t="inlineStr">
        <is>
          <t>Unit 5–8 và Review 2</t>
        </is>
      </c>
      <c r="F622" s="3" t="inlineStr">
        <is>
          <t>Unit 8. In the park</t>
        </is>
      </c>
      <c r="G622" s="3" t="inlineStr">
        <is>
          <t>Chọn đáp án</t>
        </is>
      </c>
      <c r="H622" s="14" t="n">
        <v>1</v>
      </c>
      <c r="I622" s="3" t="inlineStr">
        <is>
          <t>Làm quen</t>
        </is>
      </c>
      <c r="J622" s="3" t="inlineStr">
        <is>
          <t>"hair" nghĩa là gì?</t>
        </is>
      </c>
      <c r="K622" s="3" t="inlineStr">
        <is>
          <t>A. mái tóc | B. cái đầu | C. con ngựa</t>
        </is>
      </c>
      <c r="L622" s="3" t="inlineStr">
        <is>
          <t>A</t>
        </is>
      </c>
      <c r="M622" s="3" t="inlineStr">
        <is>
          <t>"hair" là tóc.</t>
        </is>
      </c>
      <c r="N622" s="3" t="n"/>
      <c r="O622" s="14" t="n">
        <v>30</v>
      </c>
      <c r="P622" s="14">
        <f>INDEX(Khung_cap_do!$H$2:$H$6,H622)</f>
        <v/>
      </c>
      <c r="Q622" s="3" t="inlineStr">
        <is>
          <t>A1.EXTRA.03</t>
        </is>
      </c>
      <c r="R622" s="3" t="inlineStr">
        <is>
          <t>TA.TUVUNG</t>
        </is>
      </c>
    </row>
    <row r="623">
      <c r="A623" s="3" t="inlineStr">
        <is>
          <t>ta1-gs-u08-q5</t>
        </is>
      </c>
      <c r="B623" s="3" t="inlineStr">
        <is>
          <t>Tiếng Anh</t>
        </is>
      </c>
      <c r="C623" s="3" t="inlineStr">
        <is>
          <t>Global Success</t>
        </is>
      </c>
      <c r="D623" s="3" t="inlineStr">
        <is>
          <t>Unit 8</t>
        </is>
      </c>
      <c r="E623" s="3" t="inlineStr">
        <is>
          <t>Unit 5–8 và Review 2</t>
        </is>
      </c>
      <c r="F623" s="3" t="inlineStr">
        <is>
          <t>Unit 8. In the park</t>
        </is>
      </c>
      <c r="G623" s="3" t="inlineStr">
        <is>
          <t>Ghép cặp</t>
        </is>
      </c>
      <c r="H623" s="14" t="n">
        <v>2</v>
      </c>
      <c r="I623" s="3" t="inlineStr">
        <is>
          <t>Cơ bản</t>
        </is>
      </c>
      <c r="J623" s="3" t="inlineStr">
        <is>
          <t>Ghép từ tiếng Anh với nghĩa</t>
        </is>
      </c>
      <c r="K623" s="3" t="inlineStr">
        <is>
          <t>hand ↔ ? / head ↔ ? / horse ↔ ?</t>
        </is>
      </c>
      <c r="L623" s="3" t="inlineStr">
        <is>
          <t>hand – bàn tay; head – cái đầu; horse – con ngựa</t>
        </is>
      </c>
      <c r="M623" s="3" t="inlineStr">
        <is>
          <t>hand – bàn tay; head – cái đầu; horse – con ngựa.</t>
        </is>
      </c>
      <c r="N623" s="3" t="n"/>
      <c r="O623" s="14" t="n">
        <v>55</v>
      </c>
      <c r="P623" s="14">
        <f>INDEX(Khung_cap_do!$H$2:$H$6,H623)</f>
        <v/>
      </c>
      <c r="Q623" s="3" t="inlineStr">
        <is>
          <t>A1.EXTRA.03</t>
        </is>
      </c>
      <c r="R623" s="3" t="inlineStr">
        <is>
          <t>TA.NOINGHIA</t>
        </is>
      </c>
    </row>
    <row r="624">
      <c r="A624" s="3" t="inlineStr">
        <is>
          <t>ta1-gs-u08-q6</t>
        </is>
      </c>
      <c r="B624" s="3" t="inlineStr">
        <is>
          <t>Tiếng Anh</t>
        </is>
      </c>
      <c r="C624" s="3" t="inlineStr">
        <is>
          <t>Global Success</t>
        </is>
      </c>
      <c r="D624" s="3" t="inlineStr">
        <is>
          <t>Unit 8</t>
        </is>
      </c>
      <c r="E624" s="3" t="inlineStr">
        <is>
          <t>Unit 5–8 và Review 2</t>
        </is>
      </c>
      <c r="F624" s="3" t="inlineStr">
        <is>
          <t>Unit 8. In the park</t>
        </is>
      </c>
      <c r="G624" s="3" t="inlineStr">
        <is>
          <t>Điền đáp án</t>
        </is>
      </c>
      <c r="H624" s="14" t="n">
        <v>2</v>
      </c>
      <c r="I624" s="3" t="inlineStr">
        <is>
          <t>Cơ bản</t>
        </is>
      </c>
      <c r="J624" s="3" t="inlineStr">
        <is>
          <t>Điền chữ cái còn thiếu: _and (✋ bàn tay)</t>
        </is>
      </c>
      <c r="K624" s="3" t="inlineStr"/>
      <c r="L624" s="3" t="inlineStr">
        <is>
          <t>h / hand</t>
        </is>
      </c>
      <c r="M624" s="3" t="inlineStr">
        <is>
          <t>h + and = hand.</t>
        </is>
      </c>
      <c r="N624" s="3" t="n"/>
      <c r="O624" s="14" t="n">
        <v>50</v>
      </c>
      <c r="P624" s="14">
        <f>INDEX(Khung_cap_do!$H$2:$H$6,H624)</f>
        <v/>
      </c>
      <c r="Q624" s="3" t="inlineStr">
        <is>
          <t>A1.ABC.02</t>
        </is>
      </c>
      <c r="R624" s="3" t="inlineStr">
        <is>
          <t>TA.CHUCAI</t>
        </is>
      </c>
    </row>
    <row r="625">
      <c r="A625" s="3" t="inlineStr">
        <is>
          <t>ta1-gs-u08-q7</t>
        </is>
      </c>
      <c r="B625" s="3" t="inlineStr">
        <is>
          <t>Tiếng Anh</t>
        </is>
      </c>
      <c r="C625" s="3" t="inlineStr">
        <is>
          <t>Global Success</t>
        </is>
      </c>
      <c r="D625" s="3" t="inlineStr">
        <is>
          <t>Unit 8</t>
        </is>
      </c>
      <c r="E625" s="3" t="inlineStr">
        <is>
          <t>Unit 5–8 và Review 2</t>
        </is>
      </c>
      <c r="F625" s="3" t="inlineStr">
        <is>
          <t>Unit 8. In the park</t>
        </is>
      </c>
      <c r="G625" s="3" t="inlineStr">
        <is>
          <t>Chọn nhiều đáp án</t>
        </is>
      </c>
      <c r="H625" s="14" t="n">
        <v>2</v>
      </c>
      <c r="I625" s="3" t="inlineStr">
        <is>
          <t>Cơ bản</t>
        </is>
      </c>
      <c r="J625" s="3" t="inlineStr">
        <is>
          <t>Chọn TẤT CẢ các bộ phận cơ thể</t>
        </is>
      </c>
      <c r="K625" s="3" t="inlineStr">
        <is>
          <t>A. hair | B. hand | C. horse | D. head | E. hat</t>
        </is>
      </c>
      <c r="L625" s="3" t="inlineStr">
        <is>
          <t>A, B, D</t>
        </is>
      </c>
      <c r="M625" s="3" t="inlineStr">
        <is>
          <t>hair, hand, head là bộ phận cơ thể; horse là con ngựa, hat là cái mũ.</t>
        </is>
      </c>
      <c r="N625" s="3" t="n"/>
      <c r="O625" s="14" t="n">
        <v>50</v>
      </c>
      <c r="P625" s="14">
        <f>INDEX(Khung_cap_do!$H$2:$H$6,H625)</f>
        <v/>
      </c>
      <c r="Q625" s="3" t="inlineStr">
        <is>
          <t>A1.EXTRA.03</t>
        </is>
      </c>
      <c r="R625" s="3" t="inlineStr">
        <is>
          <t>TA.NHOMTU</t>
        </is>
      </c>
    </row>
    <row r="626">
      <c r="A626" s="3" t="inlineStr">
        <is>
          <t>ta1-gs-u08-q8</t>
        </is>
      </c>
      <c r="B626" s="3" t="inlineStr">
        <is>
          <t>Tiếng Anh</t>
        </is>
      </c>
      <c r="C626" s="3" t="inlineStr">
        <is>
          <t>Global Success</t>
        </is>
      </c>
      <c r="D626" s="3" t="inlineStr">
        <is>
          <t>Unit 8</t>
        </is>
      </c>
      <c r="E626" s="3" t="inlineStr">
        <is>
          <t>Unit 5–8 và Review 2</t>
        </is>
      </c>
      <c r="F626" s="3" t="inlineStr">
        <is>
          <t>Unit 8. In the park</t>
        </is>
      </c>
      <c r="G626" s="3" t="inlineStr">
        <is>
          <t>Chọn đáp án</t>
        </is>
      </c>
      <c r="H626" s="14" t="n">
        <v>3</v>
      </c>
      <c r="I626" s="3" t="inlineStr">
        <is>
          <t>Vận dụng</t>
        </is>
      </c>
      <c r="J626" s="3" t="inlineStr">
        <is>
          <t>Cô chỉ vào đầu và hỏi: "What is it?" Em trả lời:</t>
        </is>
      </c>
      <c r="K626" s="3" t="inlineStr">
        <is>
          <t>A. Head. | B. Hand. | C. Hat.</t>
        </is>
      </c>
      <c r="L626" s="3" t="inlineStr">
        <is>
          <t>A</t>
        </is>
      </c>
      <c r="M626" s="3" t="inlineStr">
        <is>
          <t>Cô chỉ vào đầu, đầu là "head".</t>
        </is>
      </c>
      <c r="N626" s="3" t="inlineStr">
        <is>
          <t>"What is it?" nghĩa là "Đây là cái gì?". Cô chỉ vào đầu, cái đầu là "head". Trả lời: "Head."</t>
        </is>
      </c>
      <c r="O626" s="14" t="n">
        <v>50</v>
      </c>
      <c r="P626" s="14">
        <f>INDEX(Khung_cap_do!$H$2:$H$6,H626)</f>
        <v/>
      </c>
      <c r="Q626" s="3" t="inlineStr">
        <is>
          <t>A1.EXTRA.03</t>
        </is>
      </c>
      <c r="R626" s="3" t="inlineStr">
        <is>
          <t>TA.MAUCAU</t>
        </is>
      </c>
    </row>
    <row r="627">
      <c r="A627" s="3" t="inlineStr">
        <is>
          <t>ta1-gs-review2-q1</t>
        </is>
      </c>
      <c r="B627" s="3" t="inlineStr">
        <is>
          <t>Tiếng Anh</t>
        </is>
      </c>
      <c r="C627" s="3" t="inlineStr">
        <is>
          <t>Global Success</t>
        </is>
      </c>
      <c r="D627" s="3" t="inlineStr">
        <is>
          <t>Review 2</t>
        </is>
      </c>
      <c r="E627" s="3" t="inlineStr">
        <is>
          <t>Unit 5–8 và Review 2</t>
        </is>
      </c>
      <c r="F627" s="3" t="inlineStr">
        <is>
          <t>Review 2. Ôn tập Unit 5–8</t>
        </is>
      </c>
      <c r="G627" s="3" t="inlineStr">
        <is>
          <t>Ghép cặp</t>
        </is>
      </c>
      <c r="H627" s="14" t="n">
        <v>2</v>
      </c>
      <c r="I627" s="3" t="inlineStr">
        <is>
          <t>Cơ bản</t>
        </is>
      </c>
      <c r="J627" s="3" t="inlineStr">
        <is>
          <t>Ghép hình với từ đúng</t>
        </is>
      </c>
      <c r="K627" s="3" t="inlineStr">
        <is>
          <t>🐐 ↔ ? / 🔔 ↔ ? / 🥛 ↔ ? / 🐴 ↔ ?</t>
        </is>
      </c>
      <c r="L627" s="3" t="inlineStr">
        <is>
          <t>🐐 – goat; 🔔 – bell; 🥛 – milk; 🐴 – horse</t>
        </is>
      </c>
      <c r="M627" s="3" t="inlineStr">
        <is>
          <t>goat, bell, milk, horse.</t>
        </is>
      </c>
      <c r="N627" s="3" t="n"/>
      <c r="O627" s="14" t="n">
        <v>55</v>
      </c>
      <c r="P627" s="14">
        <f>INDEX(Khung_cap_do!$H$2:$H$6,H627)</f>
        <v/>
      </c>
      <c r="Q627" s="3" t="inlineStr">
        <is>
          <t>A1.ABC.02</t>
        </is>
      </c>
      <c r="R627" s="3" t="inlineStr">
        <is>
          <t>TA.NOINGHIA</t>
        </is>
      </c>
    </row>
    <row r="628">
      <c r="A628" s="3" t="inlineStr">
        <is>
          <t>ta1-gs-review2-q2</t>
        </is>
      </c>
      <c r="B628" s="3" t="inlineStr">
        <is>
          <t>Tiếng Anh</t>
        </is>
      </c>
      <c r="C628" s="3" t="inlineStr">
        <is>
          <t>Global Success</t>
        </is>
      </c>
      <c r="D628" s="3" t="inlineStr">
        <is>
          <t>Review 2</t>
        </is>
      </c>
      <c r="E628" s="3" t="inlineStr">
        <is>
          <t>Unit 5–8 và Review 2</t>
        </is>
      </c>
      <c r="F628" s="3" t="inlineStr">
        <is>
          <t>Review 2. Ôn tập Unit 5–8</t>
        </is>
      </c>
      <c r="G628" s="3" t="inlineStr">
        <is>
          <t>Chọn nhiều đáp án</t>
        </is>
      </c>
      <c r="H628" s="14" t="n">
        <v>2</v>
      </c>
      <c r="I628" s="3" t="inlineStr">
        <is>
          <t>Cơ bản</t>
        </is>
      </c>
      <c r="J628" s="3" t="inlineStr">
        <is>
          <t>Chọn TẤT CẢ các con vật</t>
        </is>
      </c>
      <c r="K628" s="3" t="inlineStr">
        <is>
          <t>A. fish | B. goat | C. pen | D. horse | E. milk</t>
        </is>
      </c>
      <c r="L628" s="3" t="inlineStr">
        <is>
          <t>A, B, D</t>
        </is>
      </c>
      <c r="M628" s="3" t="inlineStr">
        <is>
          <t>fish, goat, horse là con vật.</t>
        </is>
      </c>
      <c r="N628" s="3" t="n"/>
      <c r="O628" s="14" t="n">
        <v>50</v>
      </c>
      <c r="P628" s="14">
        <f>INDEX(Khung_cap_do!$H$2:$H$6,H628)</f>
        <v/>
      </c>
      <c r="Q628" s="3" t="inlineStr">
        <is>
          <t>A1.ANIMAL.01</t>
        </is>
      </c>
      <c r="R628" s="3" t="inlineStr">
        <is>
          <t>TA.NHOMTU</t>
        </is>
      </c>
    </row>
    <row r="629">
      <c r="A629" s="3" t="inlineStr">
        <is>
          <t>ta1-gs-review2-q3</t>
        </is>
      </c>
      <c r="B629" s="3" t="inlineStr">
        <is>
          <t>Tiếng Anh</t>
        </is>
      </c>
      <c r="C629" s="3" t="inlineStr">
        <is>
          <t>Global Success</t>
        </is>
      </c>
      <c r="D629" s="3" t="inlineStr">
        <is>
          <t>Review 2</t>
        </is>
      </c>
      <c r="E629" s="3" t="inlineStr">
        <is>
          <t>Unit 5–8 và Review 2</t>
        </is>
      </c>
      <c r="F629" s="3" t="inlineStr">
        <is>
          <t>Review 2. Ôn tập Unit 5–8</t>
        </is>
      </c>
      <c r="G629" s="3" t="inlineStr">
        <is>
          <t>Chọn đáp án</t>
        </is>
      </c>
      <c r="H629" s="14" t="n">
        <v>1</v>
      </c>
      <c r="I629" s="3" t="inlineStr">
        <is>
          <t>Làm quen</t>
        </is>
      </c>
      <c r="J629" s="3" t="inlineStr">
        <is>
          <t>Từ nào bắt đầu bằng chữ h?</t>
        </is>
      </c>
      <c r="K629" s="3" t="inlineStr">
        <is>
          <t>A. hand | B. bell | C. girl</t>
        </is>
      </c>
      <c r="L629" s="3" t="inlineStr">
        <is>
          <t>A</t>
        </is>
      </c>
      <c r="M629" s="3" t="inlineStr">
        <is>
          <t>"hand" bắt đầu bằng h.</t>
        </is>
      </c>
      <c r="N629" s="3" t="n"/>
      <c r="O629" s="14" t="n">
        <v>30</v>
      </c>
      <c r="P629" s="14">
        <f>INDEX(Khung_cap_do!$H$2:$H$6,H629)</f>
        <v/>
      </c>
      <c r="Q629" s="3" t="inlineStr">
        <is>
          <t>A1.ABC.02</t>
        </is>
      </c>
      <c r="R629" s="3" t="inlineStr">
        <is>
          <t>TA.CHUCAI</t>
        </is>
      </c>
    </row>
    <row r="630">
      <c r="A630" s="3" t="inlineStr">
        <is>
          <t>ta1-gs-review2-q4</t>
        </is>
      </c>
      <c r="B630" s="3" t="inlineStr">
        <is>
          <t>Tiếng Anh</t>
        </is>
      </c>
      <c r="C630" s="3" t="inlineStr">
        <is>
          <t>Global Success</t>
        </is>
      </c>
      <c r="D630" s="3" t="inlineStr">
        <is>
          <t>Review 2</t>
        </is>
      </c>
      <c r="E630" s="3" t="inlineStr">
        <is>
          <t>Unit 5–8 và Review 2</t>
        </is>
      </c>
      <c r="F630" s="3" t="inlineStr">
        <is>
          <t>Review 2. Ôn tập Unit 5–8</t>
        </is>
      </c>
      <c r="G630" s="3" t="inlineStr">
        <is>
          <t>Điền đáp án</t>
        </is>
      </c>
      <c r="H630" s="14" t="n">
        <v>2</v>
      </c>
      <c r="I630" s="3" t="inlineStr">
        <is>
          <t>Cơ bản</t>
        </is>
      </c>
      <c r="J630" s="3" t="inlineStr">
        <is>
          <t>Điền chữ cái còn thiếu: m_lk (🥛 sữa)</t>
        </is>
      </c>
      <c r="K630" s="3" t="inlineStr"/>
      <c r="L630" s="3" t="inlineStr">
        <is>
          <t>i / milk</t>
        </is>
      </c>
      <c r="M630" s="3" t="inlineStr">
        <is>
          <t>m + i + lk = milk.</t>
        </is>
      </c>
      <c r="N630" s="3" t="n"/>
      <c r="O630" s="14" t="n">
        <v>50</v>
      </c>
      <c r="P630" s="14">
        <f>INDEX(Khung_cap_do!$H$2:$H$6,H630)</f>
        <v/>
      </c>
      <c r="Q630" s="3" t="inlineStr">
        <is>
          <t>A1.ABC.02</t>
        </is>
      </c>
      <c r="R630" s="3" t="inlineStr">
        <is>
          <t>TA.CHUCAI</t>
        </is>
      </c>
    </row>
    <row r="631">
      <c r="A631" s="3" t="inlineStr">
        <is>
          <t>ta1-gs-review2-q5</t>
        </is>
      </c>
      <c r="B631" s="3" t="inlineStr">
        <is>
          <t>Tiếng Anh</t>
        </is>
      </c>
      <c r="C631" s="3" t="inlineStr">
        <is>
          <t>Global Success</t>
        </is>
      </c>
      <c r="D631" s="3" t="inlineStr">
        <is>
          <t>Review 2</t>
        </is>
      </c>
      <c r="E631" s="3" t="inlineStr">
        <is>
          <t>Unit 5–8 và Review 2</t>
        </is>
      </c>
      <c r="F631" s="3" t="inlineStr">
        <is>
          <t>Review 2. Ôn tập Unit 5–8</t>
        </is>
      </c>
      <c r="G631" s="3" t="inlineStr">
        <is>
          <t>Sắp xếp</t>
        </is>
      </c>
      <c r="H631" s="14" t="n">
        <v>3</v>
      </c>
      <c r="I631" s="3" t="inlineStr">
        <is>
          <t>Vận dụng</t>
        </is>
      </c>
      <c r="J631" s="3" t="inlineStr">
        <is>
          <t>Sắp xếp các từ thành câu đúng</t>
        </is>
      </c>
      <c r="K631" s="3" t="inlineStr">
        <is>
          <t>This / is / my / pencil.</t>
        </is>
      </c>
      <c r="L631" s="3" t="inlineStr">
        <is>
          <t>This → is → my → pencil.</t>
        </is>
      </c>
      <c r="M631" s="3" t="inlineStr">
        <is>
          <t>This is my pencil. = Đây là bút chì của mình.</t>
        </is>
      </c>
      <c r="N631" s="3" t="inlineStr">
        <is>
          <t>Giống mẫu câu đã học: This – is – my – pencil. Từ có dấu chấm (pencil.) đứng cuối câu.</t>
        </is>
      </c>
      <c r="O631" s="14" t="n">
        <v>65</v>
      </c>
      <c r="P631" s="14">
        <f>INDEX(Khung_cap_do!$H$2:$H$6,H631)</f>
        <v/>
      </c>
      <c r="Q631" s="3" t="inlineStr">
        <is>
          <t>A1.SCHOOL.01</t>
        </is>
      </c>
      <c r="R631" s="3" t="inlineStr">
        <is>
          <t>TA.MAUCAU</t>
        </is>
      </c>
    </row>
    <row r="632">
      <c r="A632" s="3" t="inlineStr">
        <is>
          <t>ta1-gs-review2-q6</t>
        </is>
      </c>
      <c r="B632" s="3" t="inlineStr">
        <is>
          <t>Tiếng Anh</t>
        </is>
      </c>
      <c r="C632" s="3" t="inlineStr">
        <is>
          <t>Global Success</t>
        </is>
      </c>
      <c r="D632" s="3" t="inlineStr">
        <is>
          <t>Review 2</t>
        </is>
      </c>
      <c r="E632" s="3" t="inlineStr">
        <is>
          <t>Unit 5–8 và Review 2</t>
        </is>
      </c>
      <c r="F632" s="3" t="inlineStr">
        <is>
          <t>Review 2. Ôn tập Unit 5–8</t>
        </is>
      </c>
      <c r="G632" s="3" t="inlineStr">
        <is>
          <t>Chọn đáp án</t>
        </is>
      </c>
      <c r="H632" s="14" t="n">
        <v>2</v>
      </c>
      <c r="I632" s="3" t="inlineStr">
        <is>
          <t>Cơ bản</t>
        </is>
      </c>
      <c r="J632" s="3" t="inlineStr">
        <is>
          <t>"a red bell" nghĩa là gì?</t>
        </is>
      </c>
      <c r="K632" s="3" t="inlineStr">
        <is>
          <t>A. một cái chuông màu đỏ | B. một bé gái | C. một con ngựa</t>
        </is>
      </c>
      <c r="L632" s="3" t="inlineStr">
        <is>
          <t>A</t>
        </is>
      </c>
      <c r="M632" s="3" t="inlineStr">
        <is>
          <t>red = đỏ, bell = cái chuông.</t>
        </is>
      </c>
      <c r="N632" s="3" t="n"/>
      <c r="O632" s="14" t="n">
        <v>40</v>
      </c>
      <c r="P632" s="14">
        <f>INDEX(Khung_cap_do!$H$2:$H$6,H632)</f>
        <v/>
      </c>
      <c r="Q632" s="3" t="inlineStr">
        <is>
          <t>A1.COLOUR.01</t>
        </is>
      </c>
      <c r="R632" s="3" t="inlineStr">
        <is>
          <t>TA.TUVUNG</t>
        </is>
      </c>
    </row>
    <row r="633">
      <c r="A633" s="3" t="inlineStr">
        <is>
          <t>ta1-gs-review2-q7</t>
        </is>
      </c>
      <c r="B633" s="3" t="inlineStr">
        <is>
          <t>Tiếng Anh</t>
        </is>
      </c>
      <c r="C633" s="3" t="inlineStr">
        <is>
          <t>Global Success</t>
        </is>
      </c>
      <c r="D633" s="3" t="inlineStr">
        <is>
          <t>Review 2</t>
        </is>
      </c>
      <c r="E633" s="3" t="inlineStr">
        <is>
          <t>Unit 5–8 và Review 2</t>
        </is>
      </c>
      <c r="F633" s="3" t="inlineStr">
        <is>
          <t>Review 2. Ôn tập Unit 5–8</t>
        </is>
      </c>
      <c r="G633" s="3" t="inlineStr">
        <is>
          <t>Đúng / Sai</t>
        </is>
      </c>
      <c r="H633" s="14" t="n">
        <v>1</v>
      </c>
      <c r="I633" s="3" t="inlineStr">
        <is>
          <t>Làm quen</t>
        </is>
      </c>
      <c r="J633" s="3" t="inlineStr">
        <is>
          <t>"girl" nghĩa là bé gái. Đúng hay sai?</t>
        </is>
      </c>
      <c r="K633" s="3" t="inlineStr">
        <is>
          <t>A. Đúng | B. Sai</t>
        </is>
      </c>
      <c r="L633" s="3" t="inlineStr">
        <is>
          <t>A</t>
        </is>
      </c>
      <c r="M633" s="3" t="inlineStr">
        <is>
          <t>Đúng.</t>
        </is>
      </c>
      <c r="N633" s="3" t="n"/>
      <c r="O633" s="14" t="n">
        <v>30</v>
      </c>
      <c r="P633" s="14">
        <f>INDEX(Khung_cap_do!$H$2:$H$6,H633)</f>
        <v/>
      </c>
      <c r="Q633" s="3" t="inlineStr">
        <is>
          <t>A1.FAMILY.01</t>
        </is>
      </c>
      <c r="R633" s="3" t="inlineStr">
        <is>
          <t>TA.TUVUNG</t>
        </is>
      </c>
    </row>
    <row r="634">
      <c r="A634" s="3" t="inlineStr">
        <is>
          <t>ta1-gs-review2-q8</t>
        </is>
      </c>
      <c r="B634" s="3" t="inlineStr">
        <is>
          <t>Tiếng Anh</t>
        </is>
      </c>
      <c r="C634" s="3" t="inlineStr">
        <is>
          <t>Global Success</t>
        </is>
      </c>
      <c r="D634" s="3" t="inlineStr">
        <is>
          <t>Review 2</t>
        </is>
      </c>
      <c r="E634" s="3" t="inlineStr">
        <is>
          <t>Unit 5–8 và Review 2</t>
        </is>
      </c>
      <c r="F634" s="3" t="inlineStr">
        <is>
          <t>Review 2. Ôn tập Unit 5–8</t>
        </is>
      </c>
      <c r="G634" s="3" t="inlineStr">
        <is>
          <t>Chọn đáp án</t>
        </is>
      </c>
      <c r="H634" s="14" t="n">
        <v>3</v>
      </c>
      <c r="I634" s="3" t="inlineStr">
        <is>
          <t>Vận dụng</t>
        </is>
      </c>
      <c r="J634" s="3" t="inlineStr">
        <is>
          <t>Em muốn ăn gà rán. Em nói:</t>
        </is>
      </c>
      <c r="K634" s="3" t="inlineStr">
        <is>
          <t>A. Chicken, please! | B. Goat, please! | C. Gate, please!</t>
        </is>
      </c>
      <c r="L634" s="3" t="inlineStr">
        <is>
          <t>A</t>
        </is>
      </c>
      <c r="M634" s="3" t="inlineStr">
        <is>
          <t>"chicken" là thịt gà.</t>
        </is>
      </c>
      <c r="N634" s="3" t="inlineStr">
        <is>
          <t>Gà rán là thịt gà, tiếng Anh là "chicken". Thêm "please" cho lịch sự: "Chicken, please!"</t>
        </is>
      </c>
      <c r="O634" s="14" t="n">
        <v>50</v>
      </c>
      <c r="P634" s="14">
        <f>INDEX(Khung_cap_do!$H$2:$H$6,H634)</f>
        <v/>
      </c>
      <c r="Q634" s="3" t="inlineStr">
        <is>
          <t>A1.EXTRA.02</t>
        </is>
      </c>
      <c r="R634" s="3" t="inlineStr">
        <is>
          <t>TA.MAUCAU</t>
        </is>
      </c>
    </row>
    <row r="635">
      <c r="A635" s="3" t="inlineStr">
        <is>
          <t>ta1-gs-u09-q1</t>
        </is>
      </c>
      <c r="B635" s="3" t="inlineStr">
        <is>
          <t>Tiếng Anh</t>
        </is>
      </c>
      <c r="C635" s="3" t="inlineStr">
        <is>
          <t>Global Success</t>
        </is>
      </c>
      <c r="D635" s="3" t="inlineStr">
        <is>
          <t>Unit 9</t>
        </is>
      </c>
      <c r="E635" s="3" t="inlineStr">
        <is>
          <t>Học kì 2 · Unit 9–12 và Review 3</t>
        </is>
      </c>
      <c r="F635" s="3" t="inlineStr">
        <is>
          <t>Unit 9. In the shop</t>
        </is>
      </c>
      <c r="G635" s="3" t="inlineStr">
        <is>
          <t>Chọn đáp án</t>
        </is>
      </c>
      <c r="H635" s="14" t="n">
        <v>1</v>
      </c>
      <c r="I635" s="3" t="inlineStr">
        <is>
          <t>Làm quen</t>
        </is>
      </c>
      <c r="J635" s="3" t="inlineStr">
        <is>
          <t>🕰️ Đây là gì?</t>
        </is>
      </c>
      <c r="K635" s="3" t="inlineStr">
        <is>
          <t>A. clock | B. lock | C. pot</t>
        </is>
      </c>
      <c r="L635" s="3" t="inlineStr">
        <is>
          <t>A</t>
        </is>
      </c>
      <c r="M635" s="3" t="inlineStr">
        <is>
          <t>"clock" là đồng hồ.</t>
        </is>
      </c>
      <c r="N635" s="3" t="n"/>
      <c r="O635" s="14" t="n">
        <v>30</v>
      </c>
      <c r="P635" s="14">
        <f>INDEX(Khung_cap_do!$H$2:$H$6,H635)</f>
        <v/>
      </c>
      <c r="Q635" s="3" t="inlineStr">
        <is>
          <t>A1.EXTRA.01</t>
        </is>
      </c>
      <c r="R635" s="3" t="inlineStr">
        <is>
          <t>TA.TUVUNG</t>
        </is>
      </c>
    </row>
    <row r="636">
      <c r="A636" s="3" t="inlineStr">
        <is>
          <t>ta1-gs-u09-q2</t>
        </is>
      </c>
      <c r="B636" s="3" t="inlineStr">
        <is>
          <t>Tiếng Anh</t>
        </is>
      </c>
      <c r="C636" s="3" t="inlineStr">
        <is>
          <t>Global Success</t>
        </is>
      </c>
      <c r="D636" s="3" t="inlineStr">
        <is>
          <t>Unit 9</t>
        </is>
      </c>
      <c r="E636" s="3" t="inlineStr">
        <is>
          <t>Học kì 2 · Unit 9–12 và Review 3</t>
        </is>
      </c>
      <c r="F636" s="3" t="inlineStr">
        <is>
          <t>Unit 9. In the shop</t>
        </is>
      </c>
      <c r="G636" s="3" t="inlineStr">
        <is>
          <t>Chọn đáp án</t>
        </is>
      </c>
      <c r="H636" s="14" t="n">
        <v>1</v>
      </c>
      <c r="I636" s="3" t="inlineStr">
        <is>
          <t>Làm quen</t>
        </is>
      </c>
      <c r="J636" s="3" t="inlineStr">
        <is>
          <t>🔒 Đây là gì?</t>
        </is>
      </c>
      <c r="K636" s="3" t="inlineStr">
        <is>
          <t>A. lock | B. clock | C. mop</t>
        </is>
      </c>
      <c r="L636" s="3" t="inlineStr">
        <is>
          <t>A</t>
        </is>
      </c>
      <c r="M636" s="3" t="inlineStr">
        <is>
          <t>"lock" là ổ khóa.</t>
        </is>
      </c>
      <c r="N636" s="3" t="n"/>
      <c r="O636" s="14" t="n">
        <v>30</v>
      </c>
      <c r="P636" s="14">
        <f>INDEX(Khung_cap_do!$H$2:$H$6,H636)</f>
        <v/>
      </c>
      <c r="Q636" s="3" t="inlineStr">
        <is>
          <t>A1.EXTRA.01</t>
        </is>
      </c>
      <c r="R636" s="3" t="inlineStr">
        <is>
          <t>TA.TUVUNG</t>
        </is>
      </c>
    </row>
    <row r="637">
      <c r="A637" s="3" t="inlineStr">
        <is>
          <t>ta1-gs-u09-q3</t>
        </is>
      </c>
      <c r="B637" s="3" t="inlineStr">
        <is>
          <t>Tiếng Anh</t>
        </is>
      </c>
      <c r="C637" s="3" t="inlineStr">
        <is>
          <t>Global Success</t>
        </is>
      </c>
      <c r="D637" s="3" t="inlineStr">
        <is>
          <t>Unit 9</t>
        </is>
      </c>
      <c r="E637" s="3" t="inlineStr">
        <is>
          <t>Học kì 2 · Unit 9–12 và Review 3</t>
        </is>
      </c>
      <c r="F637" s="3" t="inlineStr">
        <is>
          <t>Unit 9. In the shop</t>
        </is>
      </c>
      <c r="G637" s="3" t="inlineStr">
        <is>
          <t>Ghép cặp</t>
        </is>
      </c>
      <c r="H637" s="14" t="n">
        <v>2</v>
      </c>
      <c r="I637" s="3" t="inlineStr">
        <is>
          <t>Cơ bản</t>
        </is>
      </c>
      <c r="J637" s="3" t="inlineStr">
        <is>
          <t>Ghép từ tiếng Anh với nghĩa</t>
        </is>
      </c>
      <c r="K637" s="3" t="inlineStr">
        <is>
          <t>mop ↔ ? / pot ↔ ? / lock ↔ ?</t>
        </is>
      </c>
      <c r="L637" s="3" t="inlineStr">
        <is>
          <t>mop – cây lau nhà; pot – cái nồi; lock – ổ khóa</t>
        </is>
      </c>
      <c r="M637" s="3" t="inlineStr">
        <is>
          <t>mop – cây lau nhà; pot – cái nồi; lock – ổ khóa.</t>
        </is>
      </c>
      <c r="N637" s="3" t="n"/>
      <c r="O637" s="14" t="n">
        <v>55</v>
      </c>
      <c r="P637" s="14">
        <f>INDEX(Khung_cap_do!$H$2:$H$6,H637)</f>
        <v/>
      </c>
      <c r="Q637" s="3" t="inlineStr">
        <is>
          <t>A1.EXTRA.01</t>
        </is>
      </c>
      <c r="R637" s="3" t="inlineStr">
        <is>
          <t>TA.NOINGHIA</t>
        </is>
      </c>
    </row>
    <row r="638">
      <c r="A638" s="3" t="inlineStr">
        <is>
          <t>ta1-gs-u09-q4</t>
        </is>
      </c>
      <c r="B638" s="3" t="inlineStr">
        <is>
          <t>Tiếng Anh</t>
        </is>
      </c>
      <c r="C638" s="3" t="inlineStr">
        <is>
          <t>Global Success</t>
        </is>
      </c>
      <c r="D638" s="3" t="inlineStr">
        <is>
          <t>Unit 9</t>
        </is>
      </c>
      <c r="E638" s="3" t="inlineStr">
        <is>
          <t>Học kì 2 · Unit 9–12 và Review 3</t>
        </is>
      </c>
      <c r="F638" s="3" t="inlineStr">
        <is>
          <t>Unit 9. In the shop</t>
        </is>
      </c>
      <c r="G638" s="3" t="inlineStr">
        <is>
          <t>Điền đáp án</t>
        </is>
      </c>
      <c r="H638" s="14" t="n">
        <v>2</v>
      </c>
      <c r="I638" s="3" t="inlineStr">
        <is>
          <t>Cơ bản</t>
        </is>
      </c>
      <c r="J638" s="3" t="inlineStr">
        <is>
          <t>Điền chữ cái còn thiếu: p_t (cái nồi)</t>
        </is>
      </c>
      <c r="K638" s="3" t="inlineStr"/>
      <c r="L638" s="3" t="inlineStr">
        <is>
          <t>o / pot</t>
        </is>
      </c>
      <c r="M638" s="3" t="inlineStr">
        <is>
          <t>p + o + t = pot. Chữ o đọc là /ɒ/.</t>
        </is>
      </c>
      <c r="N638" s="3" t="n"/>
      <c r="O638" s="14" t="n">
        <v>50</v>
      </c>
      <c r="P638" s="14">
        <f>INDEX(Khung_cap_do!$H$2:$H$6,H638)</f>
        <v/>
      </c>
      <c r="Q638" s="3" t="inlineStr">
        <is>
          <t>A1.ABC.01</t>
        </is>
      </c>
      <c r="R638" s="3" t="inlineStr">
        <is>
          <t>TA.CHUCAI</t>
        </is>
      </c>
    </row>
    <row r="639">
      <c r="A639" s="3" t="inlineStr">
        <is>
          <t>ta1-gs-u09-q5</t>
        </is>
      </c>
      <c r="B639" s="3" t="inlineStr">
        <is>
          <t>Tiếng Anh</t>
        </is>
      </c>
      <c r="C639" s="3" t="inlineStr">
        <is>
          <t>Global Success</t>
        </is>
      </c>
      <c r="D639" s="3" t="inlineStr">
        <is>
          <t>Unit 9</t>
        </is>
      </c>
      <c r="E639" s="3" t="inlineStr">
        <is>
          <t>Học kì 2 · Unit 9–12 và Review 3</t>
        </is>
      </c>
      <c r="F639" s="3" t="inlineStr">
        <is>
          <t>Unit 9. In the shop</t>
        </is>
      </c>
      <c r="G639" s="3" t="inlineStr">
        <is>
          <t>Chọn nhiều đáp án</t>
        </is>
      </c>
      <c r="H639" s="14" t="n">
        <v>2</v>
      </c>
      <c r="I639" s="3" t="inlineStr">
        <is>
          <t>Cơ bản</t>
        </is>
      </c>
      <c r="J639" s="3" t="inlineStr">
        <is>
          <t>Chọn TẤT CẢ các từ có chữ o</t>
        </is>
      </c>
      <c r="K639" s="3" t="inlineStr">
        <is>
          <t>A. clock | B. mop | C. cat | D. pot | E. bag</t>
        </is>
      </c>
      <c r="L639" s="3" t="inlineStr">
        <is>
          <t>A, B, D</t>
        </is>
      </c>
      <c r="M639" s="3" t="inlineStr">
        <is>
          <t>clock, mop, pot có chữ o; cat, bag có chữ a.</t>
        </is>
      </c>
      <c r="N639" s="3" t="n"/>
      <c r="O639" s="14" t="n">
        <v>50</v>
      </c>
      <c r="P639" s="14">
        <f>INDEX(Khung_cap_do!$H$2:$H$6,H639)</f>
        <v/>
      </c>
      <c r="Q639" s="3" t="inlineStr">
        <is>
          <t>A1.ABC.01</t>
        </is>
      </c>
      <c r="R639" s="3" t="inlineStr">
        <is>
          <t>TA.NHOMTU</t>
        </is>
      </c>
    </row>
    <row r="640">
      <c r="A640" s="3" t="inlineStr">
        <is>
          <t>ta1-gs-u09-q6</t>
        </is>
      </c>
      <c r="B640" s="3" t="inlineStr">
        <is>
          <t>Tiếng Anh</t>
        </is>
      </c>
      <c r="C640" s="3" t="inlineStr">
        <is>
          <t>Global Success</t>
        </is>
      </c>
      <c r="D640" s="3" t="inlineStr">
        <is>
          <t>Unit 9</t>
        </is>
      </c>
      <c r="E640" s="3" t="inlineStr">
        <is>
          <t>Học kì 2 · Unit 9–12 và Review 3</t>
        </is>
      </c>
      <c r="F640" s="3" t="inlineStr">
        <is>
          <t>Unit 9. In the shop</t>
        </is>
      </c>
      <c r="G640" s="3" t="inlineStr">
        <is>
          <t>Chọn đáp án</t>
        </is>
      </c>
      <c r="H640" s="14" t="n">
        <v>2</v>
      </c>
      <c r="I640" s="3" t="inlineStr">
        <is>
          <t>Cơ bản</t>
        </is>
      </c>
      <c r="J640" s="3" t="inlineStr">
        <is>
          <t>🔒🔒🔒 How many locks?</t>
        </is>
      </c>
      <c r="K640" s="3" t="inlineStr">
        <is>
          <t>A. Three. | B. Two. | C. Four.</t>
        </is>
      </c>
      <c r="L640" s="3" t="inlineStr">
        <is>
          <t>A</t>
        </is>
      </c>
      <c r="M640" s="3" t="inlineStr">
        <is>
          <t>Có 3 ổ khóa: three.</t>
        </is>
      </c>
      <c r="N640" s="3" t="inlineStr">
        <is>
          <t>"How many locks?" nghĩa là "Có mấy ổ khóa?". Đếm: 1, 2, 3. Số 3 là "three".</t>
        </is>
      </c>
      <c r="O640" s="14" t="n">
        <v>40</v>
      </c>
      <c r="P640" s="14">
        <f>INDEX(Khung_cap_do!$H$2:$H$6,H640)</f>
        <v/>
      </c>
      <c r="Q640" s="3" t="inlineStr">
        <is>
          <t>A1.NUM.02</t>
        </is>
      </c>
      <c r="R640" s="3" t="inlineStr">
        <is>
          <t>TA.MAUCAU</t>
        </is>
      </c>
    </row>
    <row r="641">
      <c r="A641" s="3" t="inlineStr">
        <is>
          <t>ta1-gs-u09-q7</t>
        </is>
      </c>
      <c r="B641" s="3" t="inlineStr">
        <is>
          <t>Tiếng Anh</t>
        </is>
      </c>
      <c r="C641" s="3" t="inlineStr">
        <is>
          <t>Global Success</t>
        </is>
      </c>
      <c r="D641" s="3" t="inlineStr">
        <is>
          <t>Unit 9</t>
        </is>
      </c>
      <c r="E641" s="3" t="inlineStr">
        <is>
          <t>Học kì 2 · Unit 9–12 và Review 3</t>
        </is>
      </c>
      <c r="F641" s="3" t="inlineStr">
        <is>
          <t>Unit 9. In the shop</t>
        </is>
      </c>
      <c r="G641" s="3" t="inlineStr">
        <is>
          <t>Sắp xếp</t>
        </is>
      </c>
      <c r="H641" s="14" t="n">
        <v>3</v>
      </c>
      <c r="I641" s="3" t="inlineStr">
        <is>
          <t>Vận dụng</t>
        </is>
      </c>
      <c r="J641" s="3" t="inlineStr">
        <is>
          <t>Sắp xếp các số từ bé đến lớn</t>
        </is>
      </c>
      <c r="K641" s="3" t="inlineStr">
        <is>
          <t>five / four / one / three / two</t>
        </is>
      </c>
      <c r="L641" s="3" t="inlineStr">
        <is>
          <t>one → two → three → four → five</t>
        </is>
      </c>
      <c r="M641" s="3" t="inlineStr">
        <is>
          <t>one (1), two (2), three (3), four (4), five (5).</t>
        </is>
      </c>
      <c r="N641" s="3" t="inlineStr">
        <is>
          <t>Nhớ nghĩa từng số: one = 1, two = 2, three = 3, four = 4, five = 5 rồi xếp từ bé đến lớn.</t>
        </is>
      </c>
      <c r="O641" s="14" t="n">
        <v>65</v>
      </c>
      <c r="P641" s="14">
        <f>INDEX(Khung_cap_do!$H$2:$H$6,H641)</f>
        <v/>
      </c>
      <c r="Q641" s="3" t="inlineStr">
        <is>
          <t>A1.NUM.01</t>
        </is>
      </c>
      <c r="R641" s="3" t="inlineStr">
        <is>
          <t>TA.TUVUNG</t>
        </is>
      </c>
    </row>
    <row r="642">
      <c r="A642" s="3" t="inlineStr">
        <is>
          <t>ta1-gs-u09-q8</t>
        </is>
      </c>
      <c r="B642" s="3" t="inlineStr">
        <is>
          <t>Tiếng Anh</t>
        </is>
      </c>
      <c r="C642" s="3" t="inlineStr">
        <is>
          <t>Global Success</t>
        </is>
      </c>
      <c r="D642" s="3" t="inlineStr">
        <is>
          <t>Unit 9</t>
        </is>
      </c>
      <c r="E642" s="3" t="inlineStr">
        <is>
          <t>Học kì 2 · Unit 9–12 và Review 3</t>
        </is>
      </c>
      <c r="F642" s="3" t="inlineStr">
        <is>
          <t>Unit 9. In the shop</t>
        </is>
      </c>
      <c r="G642" s="3" t="inlineStr">
        <is>
          <t>Đúng / Sai</t>
        </is>
      </c>
      <c r="H642" s="14" t="n">
        <v>1</v>
      </c>
      <c r="I642" s="3" t="inlineStr">
        <is>
          <t>Làm quen</t>
        </is>
      </c>
      <c r="J642" s="3" t="inlineStr">
        <is>
          <t>"two" là số 2. Đúng hay sai?</t>
        </is>
      </c>
      <c r="K642" s="3" t="inlineStr">
        <is>
          <t>A. Đúng | B. Sai</t>
        </is>
      </c>
      <c r="L642" s="3" t="inlineStr">
        <is>
          <t>A</t>
        </is>
      </c>
      <c r="M642" s="3" t="inlineStr">
        <is>
          <t>Đúng, two = 2.</t>
        </is>
      </c>
      <c r="N642" s="3" t="n"/>
      <c r="O642" s="14" t="n">
        <v>30</v>
      </c>
      <c r="P642" s="14">
        <f>INDEX(Khung_cap_do!$H$2:$H$6,H642)</f>
        <v/>
      </c>
      <c r="Q642" s="3" t="inlineStr">
        <is>
          <t>A1.NUM.01</t>
        </is>
      </c>
      <c r="R642" s="3" t="inlineStr">
        <is>
          <t>TA.TUVUNG</t>
        </is>
      </c>
    </row>
    <row r="643">
      <c r="A643" s="3" t="inlineStr">
        <is>
          <t>ta1-gs-u10-q1</t>
        </is>
      </c>
      <c r="B643" s="3" t="inlineStr">
        <is>
          <t>Tiếng Anh</t>
        </is>
      </c>
      <c r="C643" s="3" t="inlineStr">
        <is>
          <t>Global Success</t>
        </is>
      </c>
      <c r="D643" s="3" t="inlineStr">
        <is>
          <t>Unit 10</t>
        </is>
      </c>
      <c r="E643" s="3" t="inlineStr">
        <is>
          <t>Học kì 2 · Unit 9–12 và Review 3</t>
        </is>
      </c>
      <c r="F643" s="3" t="inlineStr">
        <is>
          <t>Unit 10. At the zoo</t>
        </is>
      </c>
      <c r="G643" s="3" t="inlineStr">
        <is>
          <t>Chọn đáp án</t>
        </is>
      </c>
      <c r="H643" s="14" t="n">
        <v>1</v>
      </c>
      <c r="I643" s="3" t="inlineStr">
        <is>
          <t>Làm quen</t>
        </is>
      </c>
      <c r="J643" s="3" t="inlineStr">
        <is>
          <t>🐒 Đây là con gì?</t>
        </is>
      </c>
      <c r="K643" s="3" t="inlineStr">
        <is>
          <t>A. monkey | B. mouse | C. mango</t>
        </is>
      </c>
      <c r="L643" s="3" t="inlineStr">
        <is>
          <t>A</t>
        </is>
      </c>
      <c r="M643" s="3" t="inlineStr">
        <is>
          <t>"monkey" là con khỉ.</t>
        </is>
      </c>
      <c r="N643" s="3" t="n"/>
      <c r="O643" s="14" t="n">
        <v>30</v>
      </c>
      <c r="P643" s="14">
        <f>INDEX(Khung_cap_do!$H$2:$H$6,H643)</f>
        <v/>
      </c>
      <c r="Q643" s="3" t="inlineStr">
        <is>
          <t>A1.ANIMAL.01</t>
        </is>
      </c>
      <c r="R643" s="3" t="inlineStr">
        <is>
          <t>TA.TUVUNG</t>
        </is>
      </c>
    </row>
    <row r="644">
      <c r="A644" s="3" t="inlineStr">
        <is>
          <t>ta1-gs-u10-q2</t>
        </is>
      </c>
      <c r="B644" s="3" t="inlineStr">
        <is>
          <t>Tiếng Anh</t>
        </is>
      </c>
      <c r="C644" s="3" t="inlineStr">
        <is>
          <t>Global Success</t>
        </is>
      </c>
      <c r="D644" s="3" t="inlineStr">
        <is>
          <t>Unit 10</t>
        </is>
      </c>
      <c r="E644" s="3" t="inlineStr">
        <is>
          <t>Học kì 2 · Unit 9–12 và Review 3</t>
        </is>
      </c>
      <c r="F644" s="3" t="inlineStr">
        <is>
          <t>Unit 10. At the zoo</t>
        </is>
      </c>
      <c r="G644" s="3" t="inlineStr">
        <is>
          <t>Chọn đáp án</t>
        </is>
      </c>
      <c r="H644" s="14" t="n">
        <v>1</v>
      </c>
      <c r="I644" s="3" t="inlineStr">
        <is>
          <t>Làm quen</t>
        </is>
      </c>
      <c r="J644" s="3" t="inlineStr">
        <is>
          <t>🐭 Đây là con gì?</t>
        </is>
      </c>
      <c r="K644" s="3" t="inlineStr">
        <is>
          <t>A. mouse | B. monkey | C. mother</t>
        </is>
      </c>
      <c r="L644" s="3" t="inlineStr">
        <is>
          <t>A</t>
        </is>
      </c>
      <c r="M644" s="3" t="inlineStr">
        <is>
          <t>"mouse" là con chuột.</t>
        </is>
      </c>
      <c r="N644" s="3" t="n"/>
      <c r="O644" s="14" t="n">
        <v>30</v>
      </c>
      <c r="P644" s="14">
        <f>INDEX(Khung_cap_do!$H$2:$H$6,H644)</f>
        <v/>
      </c>
      <c r="Q644" s="3" t="inlineStr">
        <is>
          <t>A1.ANIMAL.01</t>
        </is>
      </c>
      <c r="R644" s="3" t="inlineStr">
        <is>
          <t>TA.TUVUNG</t>
        </is>
      </c>
    </row>
    <row r="645">
      <c r="A645" s="3" t="inlineStr">
        <is>
          <t>ta1-gs-u10-q3</t>
        </is>
      </c>
      <c r="B645" s="3" t="inlineStr">
        <is>
          <t>Tiếng Anh</t>
        </is>
      </c>
      <c r="C645" s="3" t="inlineStr">
        <is>
          <t>Global Success</t>
        </is>
      </c>
      <c r="D645" s="3" t="inlineStr">
        <is>
          <t>Unit 10</t>
        </is>
      </c>
      <c r="E645" s="3" t="inlineStr">
        <is>
          <t>Học kì 2 · Unit 9–12 và Review 3</t>
        </is>
      </c>
      <c r="F645" s="3" t="inlineStr">
        <is>
          <t>Unit 10. At the zoo</t>
        </is>
      </c>
      <c r="G645" s="3" t="inlineStr">
        <is>
          <t>Chọn đáp án</t>
        </is>
      </c>
      <c r="H645" s="14" t="n">
        <v>1</v>
      </c>
      <c r="I645" s="3" t="inlineStr">
        <is>
          <t>Làm quen</t>
        </is>
      </c>
      <c r="J645" s="3" t="inlineStr">
        <is>
          <t>🥭 Đây là quả gì?</t>
        </is>
      </c>
      <c r="K645" s="3" t="inlineStr">
        <is>
          <t>A. mango | B. apple | C. monkey</t>
        </is>
      </c>
      <c r="L645" s="3" t="inlineStr">
        <is>
          <t>A</t>
        </is>
      </c>
      <c r="M645" s="3" t="inlineStr">
        <is>
          <t>"mango" là quả xoài.</t>
        </is>
      </c>
      <c r="N645" s="3" t="n"/>
      <c r="O645" s="14" t="n">
        <v>30</v>
      </c>
      <c r="P645" s="14">
        <f>INDEX(Khung_cap_do!$H$2:$H$6,H645)</f>
        <v/>
      </c>
      <c r="Q645" s="3" t="inlineStr">
        <is>
          <t>A1.EXTRA.02</t>
        </is>
      </c>
      <c r="R645" s="3" t="inlineStr">
        <is>
          <t>TA.TUVUNG</t>
        </is>
      </c>
    </row>
    <row r="646">
      <c r="A646" s="3" t="inlineStr">
        <is>
          <t>ta1-gs-u10-q4</t>
        </is>
      </c>
      <c r="B646" s="3" t="inlineStr">
        <is>
          <t>Tiếng Anh</t>
        </is>
      </c>
      <c r="C646" s="3" t="inlineStr">
        <is>
          <t>Global Success</t>
        </is>
      </c>
      <c r="D646" s="3" t="inlineStr">
        <is>
          <t>Unit 10</t>
        </is>
      </c>
      <c r="E646" s="3" t="inlineStr">
        <is>
          <t>Học kì 2 · Unit 9–12 và Review 3</t>
        </is>
      </c>
      <c r="F646" s="3" t="inlineStr">
        <is>
          <t>Unit 10. At the zoo</t>
        </is>
      </c>
      <c r="G646" s="3" t="inlineStr">
        <is>
          <t>Ghép cặp</t>
        </is>
      </c>
      <c r="H646" s="14" t="n">
        <v>2</v>
      </c>
      <c r="I646" s="3" t="inlineStr">
        <is>
          <t>Cơ bản</t>
        </is>
      </c>
      <c r="J646" s="3" t="inlineStr">
        <is>
          <t>Ghép từ tiếng Anh với nghĩa</t>
        </is>
      </c>
      <c r="K646" s="3" t="inlineStr">
        <is>
          <t>mother ↔ ? / mouse ↔ ? / mango ↔ ?</t>
        </is>
      </c>
      <c r="L646" s="3" t="inlineStr">
        <is>
          <t>mother – mẹ; mouse – con chuột; mango – quả xoài</t>
        </is>
      </c>
      <c r="M646" s="3" t="inlineStr">
        <is>
          <t>mother – mẹ; mouse – con chuột; mango – quả xoài.</t>
        </is>
      </c>
      <c r="N646" s="3" t="n"/>
      <c r="O646" s="14" t="n">
        <v>55</v>
      </c>
      <c r="P646" s="14">
        <f>INDEX(Khung_cap_do!$H$2:$H$6,H646)</f>
        <v/>
      </c>
      <c r="Q646" s="3" t="inlineStr">
        <is>
          <t>A1.FAMILY.01</t>
        </is>
      </c>
      <c r="R646" s="3" t="inlineStr">
        <is>
          <t>TA.NOINGHIA</t>
        </is>
      </c>
    </row>
    <row r="647">
      <c r="A647" s="3" t="inlineStr">
        <is>
          <t>ta1-gs-u10-q5</t>
        </is>
      </c>
      <c r="B647" s="3" t="inlineStr">
        <is>
          <t>Tiếng Anh</t>
        </is>
      </c>
      <c r="C647" s="3" t="inlineStr">
        <is>
          <t>Global Success</t>
        </is>
      </c>
      <c r="D647" s="3" t="inlineStr">
        <is>
          <t>Unit 10</t>
        </is>
      </c>
      <c r="E647" s="3" t="inlineStr">
        <is>
          <t>Học kì 2 · Unit 9–12 và Review 3</t>
        </is>
      </c>
      <c r="F647" s="3" t="inlineStr">
        <is>
          <t>Unit 10. At the zoo</t>
        </is>
      </c>
      <c r="G647" s="3" t="inlineStr">
        <is>
          <t>Chọn nhiều đáp án</t>
        </is>
      </c>
      <c r="H647" s="14" t="n">
        <v>2</v>
      </c>
      <c r="I647" s="3" t="inlineStr">
        <is>
          <t>Cơ bản</t>
        </is>
      </c>
      <c r="J647" s="3" t="inlineStr">
        <is>
          <t>Chọn TẤT CẢ các từ bắt đầu bằng chữ m</t>
        </is>
      </c>
      <c r="K647" s="3" t="inlineStr">
        <is>
          <t>A. monkey | B. lock | C. mouse | D. mango | E. pot</t>
        </is>
      </c>
      <c r="L647" s="3" t="inlineStr">
        <is>
          <t>A, C, D</t>
        </is>
      </c>
      <c r="M647" s="3" t="inlineStr">
        <is>
          <t>monkey, mouse, mango bắt đầu bằng m.</t>
        </is>
      </c>
      <c r="N647" s="3" t="n"/>
      <c r="O647" s="14" t="n">
        <v>50</v>
      </c>
      <c r="P647" s="14">
        <f>INDEX(Khung_cap_do!$H$2:$H$6,H647)</f>
        <v/>
      </c>
      <c r="Q647" s="3" t="inlineStr">
        <is>
          <t>A1.ABC.02</t>
        </is>
      </c>
      <c r="R647" s="3" t="inlineStr">
        <is>
          <t>TA.NHOMTU</t>
        </is>
      </c>
    </row>
    <row r="648">
      <c r="A648" s="3" t="inlineStr">
        <is>
          <t>ta1-gs-u10-q6</t>
        </is>
      </c>
      <c r="B648" s="3" t="inlineStr">
        <is>
          <t>Tiếng Anh</t>
        </is>
      </c>
      <c r="C648" s="3" t="inlineStr">
        <is>
          <t>Global Success</t>
        </is>
      </c>
      <c r="D648" s="3" t="inlineStr">
        <is>
          <t>Unit 10</t>
        </is>
      </c>
      <c r="E648" s="3" t="inlineStr">
        <is>
          <t>Học kì 2 · Unit 9–12 và Review 3</t>
        </is>
      </c>
      <c r="F648" s="3" t="inlineStr">
        <is>
          <t>Unit 10. At the zoo</t>
        </is>
      </c>
      <c r="G648" s="3" t="inlineStr">
        <is>
          <t>Điền đáp án</t>
        </is>
      </c>
      <c r="H648" s="14" t="n">
        <v>2</v>
      </c>
      <c r="I648" s="3" t="inlineStr">
        <is>
          <t>Cơ bản</t>
        </is>
      </c>
      <c r="J648" s="3" t="inlineStr">
        <is>
          <t>Điền chữ cái còn thiếu: _ouse (🐭 con chuột)</t>
        </is>
      </c>
      <c r="K648" s="3" t="inlineStr"/>
      <c r="L648" s="3" t="inlineStr">
        <is>
          <t>m / mouse</t>
        </is>
      </c>
      <c r="M648" s="3" t="inlineStr">
        <is>
          <t>m + ouse = mouse.</t>
        </is>
      </c>
      <c r="N648" s="3" t="n"/>
      <c r="O648" s="14" t="n">
        <v>50</v>
      </c>
      <c r="P648" s="14">
        <f>INDEX(Khung_cap_do!$H$2:$H$6,H648)</f>
        <v/>
      </c>
      <c r="Q648" s="3" t="inlineStr">
        <is>
          <t>A1.ABC.02</t>
        </is>
      </c>
      <c r="R648" s="3" t="inlineStr">
        <is>
          <t>TA.CHUCAI</t>
        </is>
      </c>
    </row>
    <row r="649">
      <c r="A649" s="3" t="inlineStr">
        <is>
          <t>ta1-gs-u10-q7</t>
        </is>
      </c>
      <c r="B649" s="3" t="inlineStr">
        <is>
          <t>Tiếng Anh</t>
        </is>
      </c>
      <c r="C649" s="3" t="inlineStr">
        <is>
          <t>Global Success</t>
        </is>
      </c>
      <c r="D649" s="3" t="inlineStr">
        <is>
          <t>Unit 10</t>
        </is>
      </c>
      <c r="E649" s="3" t="inlineStr">
        <is>
          <t>Học kì 2 · Unit 9–12 và Review 3</t>
        </is>
      </c>
      <c r="F649" s="3" t="inlineStr">
        <is>
          <t>Unit 10. At the zoo</t>
        </is>
      </c>
      <c r="G649" s="3" t="inlineStr">
        <is>
          <t>Chọn đáp án</t>
        </is>
      </c>
      <c r="H649" s="14" t="n">
        <v>3</v>
      </c>
      <c r="I649" s="3" t="inlineStr">
        <is>
          <t>Vận dụng</t>
        </is>
      </c>
      <c r="J649" s="3" t="inlineStr">
        <is>
          <t>🐒 Ở vườn thú, em chỉ vào con khỉ và nói:</t>
        </is>
      </c>
      <c r="K649" s="3" t="inlineStr">
        <is>
          <t>A. That's a monkey. | B. That's a mouse. | C. That's a mango.</t>
        </is>
      </c>
      <c r="L649" s="3" t="inlineStr">
        <is>
          <t>A</t>
        </is>
      </c>
      <c r="M649" s="3" t="inlineStr">
        <is>
          <t>"That's a monkey." = Đó là một con khỉ.</t>
        </is>
      </c>
      <c r="N649" s="3" t="inlineStr">
        <is>
          <t>"That's a …" nghĩa là "Đó là một …". Con khỉ là "monkey", nên nói: That's a monkey.</t>
        </is>
      </c>
      <c r="O649" s="14" t="n">
        <v>50</v>
      </c>
      <c r="P649" s="14">
        <f>INDEX(Khung_cap_do!$H$2:$H$6,H649)</f>
        <v/>
      </c>
      <c r="Q649" s="3" t="inlineStr">
        <is>
          <t>A1.ANIMAL.01</t>
        </is>
      </c>
      <c r="R649" s="3" t="inlineStr">
        <is>
          <t>TA.MAUCAU</t>
        </is>
      </c>
    </row>
    <row r="650">
      <c r="A650" s="3" t="inlineStr">
        <is>
          <t>ta1-gs-u10-q8</t>
        </is>
      </c>
      <c r="B650" s="3" t="inlineStr">
        <is>
          <t>Tiếng Anh</t>
        </is>
      </c>
      <c r="C650" s="3" t="inlineStr">
        <is>
          <t>Global Success</t>
        </is>
      </c>
      <c r="D650" s="3" t="inlineStr">
        <is>
          <t>Unit 10</t>
        </is>
      </c>
      <c r="E650" s="3" t="inlineStr">
        <is>
          <t>Học kì 2 · Unit 9–12 và Review 3</t>
        </is>
      </c>
      <c r="F650" s="3" t="inlineStr">
        <is>
          <t>Unit 10. At the zoo</t>
        </is>
      </c>
      <c r="G650" s="3" t="inlineStr">
        <is>
          <t>Chọn đáp án</t>
        </is>
      </c>
      <c r="H650" s="14" t="n">
        <v>3</v>
      </c>
      <c r="I650" s="3" t="inlineStr">
        <is>
          <t>Vận dụng</t>
        </is>
      </c>
      <c r="J650" s="3" t="inlineStr">
        <is>
          <t>Con vật nào thích ăn chuối và leo cây giỏi?</t>
        </is>
      </c>
      <c r="K650" s="3" t="inlineStr">
        <is>
          <t>A. monkey | B. mouse | C. duck</t>
        </is>
      </c>
      <c r="L650" s="3" t="inlineStr">
        <is>
          <t>A</t>
        </is>
      </c>
      <c r="M650" s="3" t="inlineStr">
        <is>
          <t>Con khỉ (monkey) leo cây giỏi.</t>
        </is>
      </c>
      <c r="N650" s="3" t="inlineStr">
        <is>
          <t>Con khỉ leo trèo giỏi và thích ăn chuối. Con khỉ tiếng Anh là "monkey".</t>
        </is>
      </c>
      <c r="O650" s="14" t="n">
        <v>50</v>
      </c>
      <c r="P650" s="14">
        <f>INDEX(Khung_cap_do!$H$2:$H$6,H650)</f>
        <v/>
      </c>
      <c r="Q650" s="3" t="inlineStr">
        <is>
          <t>A1.ANIMAL.01</t>
        </is>
      </c>
      <c r="R650" s="3" t="inlineStr">
        <is>
          <t>TA.TUVUNG</t>
        </is>
      </c>
    </row>
    <row r="651">
      <c r="A651" s="3" t="inlineStr">
        <is>
          <t>ta1-gs-u11-q1</t>
        </is>
      </c>
      <c r="B651" s="3" t="inlineStr">
        <is>
          <t>Tiếng Anh</t>
        </is>
      </c>
      <c r="C651" s="3" t="inlineStr">
        <is>
          <t>Global Success</t>
        </is>
      </c>
      <c r="D651" s="3" t="inlineStr">
        <is>
          <t>Unit 11</t>
        </is>
      </c>
      <c r="E651" s="3" t="inlineStr">
        <is>
          <t>Học kì 2 · Unit 9–12 và Review 3</t>
        </is>
      </c>
      <c r="F651" s="3" t="inlineStr">
        <is>
          <t>Unit 11. At the bus stop</t>
        </is>
      </c>
      <c r="G651" s="3" t="inlineStr">
        <is>
          <t>Chọn đáp án</t>
        </is>
      </c>
      <c r="H651" s="14" t="n">
        <v>1</v>
      </c>
      <c r="I651" s="3" t="inlineStr">
        <is>
          <t>Làm quen</t>
        </is>
      </c>
      <c r="J651" s="3" t="inlineStr">
        <is>
          <t>🚌 Đây là gì?</t>
        </is>
      </c>
      <c r="K651" s="3" t="inlineStr">
        <is>
          <t>A. bus | B. truck | C. car</t>
        </is>
      </c>
      <c r="L651" s="3" t="inlineStr">
        <is>
          <t>A</t>
        </is>
      </c>
      <c r="M651" s="3" t="inlineStr">
        <is>
          <t>"bus" là xe buýt.</t>
        </is>
      </c>
      <c r="N651" s="3" t="n"/>
      <c r="O651" s="14" t="n">
        <v>30</v>
      </c>
      <c r="P651" s="14">
        <f>INDEX(Khung_cap_do!$H$2:$H$6,H651)</f>
        <v/>
      </c>
      <c r="Q651" s="3" t="inlineStr">
        <is>
          <t>A1.EXTRA.01</t>
        </is>
      </c>
      <c r="R651" s="3" t="inlineStr">
        <is>
          <t>TA.TUVUNG</t>
        </is>
      </c>
    </row>
    <row r="652">
      <c r="A652" s="3" t="inlineStr">
        <is>
          <t>ta1-gs-u11-q2</t>
        </is>
      </c>
      <c r="B652" s="3" t="inlineStr">
        <is>
          <t>Tiếng Anh</t>
        </is>
      </c>
      <c r="C652" s="3" t="inlineStr">
        <is>
          <t>Global Success</t>
        </is>
      </c>
      <c r="D652" s="3" t="inlineStr">
        <is>
          <t>Unit 11</t>
        </is>
      </c>
      <c r="E652" s="3" t="inlineStr">
        <is>
          <t>Học kì 2 · Unit 9–12 và Review 3</t>
        </is>
      </c>
      <c r="F652" s="3" t="inlineStr">
        <is>
          <t>Unit 11. At the bus stop</t>
        </is>
      </c>
      <c r="G652" s="3" t="inlineStr">
        <is>
          <t>Chọn đáp án</t>
        </is>
      </c>
      <c r="H652" s="14" t="n">
        <v>1</v>
      </c>
      <c r="I652" s="3" t="inlineStr">
        <is>
          <t>Làm quen</t>
        </is>
      </c>
      <c r="J652" s="3" t="inlineStr">
        <is>
          <t>🚚 Đây là gì?</t>
        </is>
      </c>
      <c r="K652" s="3" t="inlineStr">
        <is>
          <t>A. truck | B. bus | C. sun</t>
        </is>
      </c>
      <c r="L652" s="3" t="inlineStr">
        <is>
          <t>A</t>
        </is>
      </c>
      <c r="M652" s="3" t="inlineStr">
        <is>
          <t>"truck" là xe tải.</t>
        </is>
      </c>
      <c r="N652" s="3" t="n"/>
      <c r="O652" s="14" t="n">
        <v>30</v>
      </c>
      <c r="P652" s="14">
        <f>INDEX(Khung_cap_do!$H$2:$H$6,H652)</f>
        <v/>
      </c>
      <c r="Q652" s="3" t="inlineStr">
        <is>
          <t>A1.EXTRA.01</t>
        </is>
      </c>
      <c r="R652" s="3" t="inlineStr">
        <is>
          <t>TA.TUVUNG</t>
        </is>
      </c>
    </row>
    <row r="653">
      <c r="A653" s="3" t="inlineStr">
        <is>
          <t>ta1-gs-u11-q3</t>
        </is>
      </c>
      <c r="B653" s="3" t="inlineStr">
        <is>
          <t>Tiếng Anh</t>
        </is>
      </c>
      <c r="C653" s="3" t="inlineStr">
        <is>
          <t>Global Success</t>
        </is>
      </c>
      <c r="D653" s="3" t="inlineStr">
        <is>
          <t>Unit 11</t>
        </is>
      </c>
      <c r="E653" s="3" t="inlineStr">
        <is>
          <t>Học kì 2 · Unit 9–12 và Review 3</t>
        </is>
      </c>
      <c r="F653" s="3" t="inlineStr">
        <is>
          <t>Unit 11. At the bus stop</t>
        </is>
      </c>
      <c r="G653" s="3" t="inlineStr">
        <is>
          <t>Chọn đáp án</t>
        </is>
      </c>
      <c r="H653" s="14" t="n">
        <v>1</v>
      </c>
      <c r="I653" s="3" t="inlineStr">
        <is>
          <t>Làm quen</t>
        </is>
      </c>
      <c r="J653" s="3" t="inlineStr">
        <is>
          <t>☀️ Đây là gì?</t>
        </is>
      </c>
      <c r="K653" s="3" t="inlineStr">
        <is>
          <t>A. sun | B. bus | C. run</t>
        </is>
      </c>
      <c r="L653" s="3" t="inlineStr">
        <is>
          <t>A</t>
        </is>
      </c>
      <c r="M653" s="3" t="inlineStr">
        <is>
          <t>"sun" là mặt trời.</t>
        </is>
      </c>
      <c r="N653" s="3" t="n"/>
      <c r="O653" s="14" t="n">
        <v>30</v>
      </c>
      <c r="P653" s="14">
        <f>INDEX(Khung_cap_do!$H$2:$H$6,H653)</f>
        <v/>
      </c>
      <c r="Q653" s="3" t="inlineStr">
        <is>
          <t>A1.EXTRA.02</t>
        </is>
      </c>
      <c r="R653" s="3" t="inlineStr">
        <is>
          <t>TA.TUVUNG</t>
        </is>
      </c>
    </row>
    <row r="654">
      <c r="A654" s="3" t="inlineStr">
        <is>
          <t>ta1-gs-u11-q4</t>
        </is>
      </c>
      <c r="B654" s="3" t="inlineStr">
        <is>
          <t>Tiếng Anh</t>
        </is>
      </c>
      <c r="C654" s="3" t="inlineStr">
        <is>
          <t>Global Success</t>
        </is>
      </c>
      <c r="D654" s="3" t="inlineStr">
        <is>
          <t>Unit 11</t>
        </is>
      </c>
      <c r="E654" s="3" t="inlineStr">
        <is>
          <t>Học kì 2 · Unit 9–12 và Review 3</t>
        </is>
      </c>
      <c r="F654" s="3" t="inlineStr">
        <is>
          <t>Unit 11. At the bus stop</t>
        </is>
      </c>
      <c r="G654" s="3" t="inlineStr">
        <is>
          <t>Ghép cặp</t>
        </is>
      </c>
      <c r="H654" s="14" t="n">
        <v>2</v>
      </c>
      <c r="I654" s="3" t="inlineStr">
        <is>
          <t>Cơ bản</t>
        </is>
      </c>
      <c r="J654" s="3" t="inlineStr">
        <is>
          <t>Ghép từ tiếng Anh với nghĩa</t>
        </is>
      </c>
      <c r="K654" s="3" t="inlineStr">
        <is>
          <t>run ↔ ? / sun ↔ ? / truck ↔ ?</t>
        </is>
      </c>
      <c r="L654" s="3" t="inlineStr">
        <is>
          <t>run – chạy; sun – mặt trời; truck – xe tải</t>
        </is>
      </c>
      <c r="M654" s="3" t="inlineStr">
        <is>
          <t>run – chạy; sun – mặt trời; truck – xe tải.</t>
        </is>
      </c>
      <c r="N654" s="3" t="n"/>
      <c r="O654" s="14" t="n">
        <v>55</v>
      </c>
      <c r="P654" s="14">
        <f>INDEX(Khung_cap_do!$H$2:$H$6,H654)</f>
        <v/>
      </c>
      <c r="Q654" s="3" t="inlineStr">
        <is>
          <t>A1.EXTRA.02</t>
        </is>
      </c>
      <c r="R654" s="3" t="inlineStr">
        <is>
          <t>TA.NOINGHIA</t>
        </is>
      </c>
    </row>
    <row r="655">
      <c r="A655" s="3" t="inlineStr">
        <is>
          <t>ta1-gs-u11-q5</t>
        </is>
      </c>
      <c r="B655" s="3" t="inlineStr">
        <is>
          <t>Tiếng Anh</t>
        </is>
      </c>
      <c r="C655" s="3" t="inlineStr">
        <is>
          <t>Global Success</t>
        </is>
      </c>
      <c r="D655" s="3" t="inlineStr">
        <is>
          <t>Unit 11</t>
        </is>
      </c>
      <c r="E655" s="3" t="inlineStr">
        <is>
          <t>Học kì 2 · Unit 9–12 và Review 3</t>
        </is>
      </c>
      <c r="F655" s="3" t="inlineStr">
        <is>
          <t>Unit 11. At the bus stop</t>
        </is>
      </c>
      <c r="G655" s="3" t="inlineStr">
        <is>
          <t>Điền đáp án</t>
        </is>
      </c>
      <c r="H655" s="14" t="n">
        <v>2</v>
      </c>
      <c r="I655" s="3" t="inlineStr">
        <is>
          <t>Cơ bản</t>
        </is>
      </c>
      <c r="J655" s="3" t="inlineStr">
        <is>
          <t>Điền chữ cái còn thiếu: b_s (🚌 xe buýt)</t>
        </is>
      </c>
      <c r="K655" s="3" t="inlineStr"/>
      <c r="L655" s="3" t="inlineStr">
        <is>
          <t>u / bus</t>
        </is>
      </c>
      <c r="M655" s="3" t="inlineStr">
        <is>
          <t>b + u + s = bus. Chữ u đọc là /ʌ/.</t>
        </is>
      </c>
      <c r="N655" s="3" t="n"/>
      <c r="O655" s="14" t="n">
        <v>50</v>
      </c>
      <c r="P655" s="14">
        <f>INDEX(Khung_cap_do!$H$2:$H$6,H655)</f>
        <v/>
      </c>
      <c r="Q655" s="3" t="inlineStr">
        <is>
          <t>A1.ABC.01</t>
        </is>
      </c>
      <c r="R655" s="3" t="inlineStr">
        <is>
          <t>TA.CHUCAI</t>
        </is>
      </c>
    </row>
    <row r="656">
      <c r="A656" s="3" t="inlineStr">
        <is>
          <t>ta1-gs-u11-q6</t>
        </is>
      </c>
      <c r="B656" s="3" t="inlineStr">
        <is>
          <t>Tiếng Anh</t>
        </is>
      </c>
      <c r="C656" s="3" t="inlineStr">
        <is>
          <t>Global Success</t>
        </is>
      </c>
      <c r="D656" s="3" t="inlineStr">
        <is>
          <t>Unit 11</t>
        </is>
      </c>
      <c r="E656" s="3" t="inlineStr">
        <is>
          <t>Học kì 2 · Unit 9–12 và Review 3</t>
        </is>
      </c>
      <c r="F656" s="3" t="inlineStr">
        <is>
          <t>Unit 11. At the bus stop</t>
        </is>
      </c>
      <c r="G656" s="3" t="inlineStr">
        <is>
          <t>Chọn nhiều đáp án</t>
        </is>
      </c>
      <c r="H656" s="14" t="n">
        <v>2</v>
      </c>
      <c r="I656" s="3" t="inlineStr">
        <is>
          <t>Cơ bản</t>
        </is>
      </c>
      <c r="J656" s="3" t="inlineStr">
        <is>
          <t>Chọn TẤT CẢ các từ có chữ u</t>
        </is>
      </c>
      <c r="K656" s="3" t="inlineStr">
        <is>
          <t>A. bus | B. sun | C. pot | D. run | E. pen</t>
        </is>
      </c>
      <c r="L656" s="3" t="inlineStr">
        <is>
          <t>A, B, D</t>
        </is>
      </c>
      <c r="M656" s="3" t="inlineStr">
        <is>
          <t>bus, sun, run có chữ u.</t>
        </is>
      </c>
      <c r="N656" s="3" t="n"/>
      <c r="O656" s="14" t="n">
        <v>50</v>
      </c>
      <c r="P656" s="14">
        <f>INDEX(Khung_cap_do!$H$2:$H$6,H656)</f>
        <v/>
      </c>
      <c r="Q656" s="3" t="inlineStr">
        <is>
          <t>A1.ABC.01</t>
        </is>
      </c>
      <c r="R656" s="3" t="inlineStr">
        <is>
          <t>TA.NHOMTU</t>
        </is>
      </c>
    </row>
    <row r="657">
      <c r="A657" s="3" t="inlineStr">
        <is>
          <t>ta1-gs-u11-q7</t>
        </is>
      </c>
      <c r="B657" s="3" t="inlineStr">
        <is>
          <t>Tiếng Anh</t>
        </is>
      </c>
      <c r="C657" s="3" t="inlineStr">
        <is>
          <t>Global Success</t>
        </is>
      </c>
      <c r="D657" s="3" t="inlineStr">
        <is>
          <t>Unit 11</t>
        </is>
      </c>
      <c r="E657" s="3" t="inlineStr">
        <is>
          <t>Học kì 2 · Unit 9–12 và Review 3</t>
        </is>
      </c>
      <c r="F657" s="3" t="inlineStr">
        <is>
          <t>Unit 11. At the bus stop</t>
        </is>
      </c>
      <c r="G657" s="3" t="inlineStr">
        <is>
          <t>Chọn đáp án</t>
        </is>
      </c>
      <c r="H657" s="14" t="n">
        <v>3</v>
      </c>
      <c r="I657" s="3" t="inlineStr">
        <is>
          <t>Vận dụng</t>
        </is>
      </c>
      <c r="J657" s="3" t="inlineStr">
        <is>
          <t>👧🏃 Bạn gái đang chạy. Câu nào đúng?</t>
        </is>
      </c>
      <c r="K657" s="3" t="inlineStr">
        <is>
          <t>A. She's running. | B. He's running.</t>
        </is>
      </c>
      <c r="L657" s="3" t="inlineStr">
        <is>
          <t>A</t>
        </is>
      </c>
      <c r="M657" s="3" t="inlineStr">
        <is>
          <t>Bạn gái dùng "She": She's running.</t>
        </is>
      </c>
      <c r="N657" s="3" t="inlineStr">
        <is>
          <t>"She" dùng cho bạn gái, "He" dùng cho bạn trai. "running" là đang chạy. Vậy: She's running.</t>
        </is>
      </c>
      <c r="O657" s="14" t="n">
        <v>50</v>
      </c>
      <c r="P657" s="14">
        <f>INDEX(Khung_cap_do!$H$2:$H$6,H657)</f>
        <v/>
      </c>
      <c r="Q657" s="3" t="inlineStr">
        <is>
          <t>A1.HELLO.02</t>
        </is>
      </c>
      <c r="R657" s="3" t="inlineStr">
        <is>
          <t>TA.MAUCAU</t>
        </is>
      </c>
    </row>
    <row r="658">
      <c r="A658" s="3" t="inlineStr">
        <is>
          <t>ta1-gs-u11-q8</t>
        </is>
      </c>
      <c r="B658" s="3" t="inlineStr">
        <is>
          <t>Tiếng Anh</t>
        </is>
      </c>
      <c r="C658" s="3" t="inlineStr">
        <is>
          <t>Global Success</t>
        </is>
      </c>
      <c r="D658" s="3" t="inlineStr">
        <is>
          <t>Unit 11</t>
        </is>
      </c>
      <c r="E658" s="3" t="inlineStr">
        <is>
          <t>Học kì 2 · Unit 9–12 và Review 3</t>
        </is>
      </c>
      <c r="F658" s="3" t="inlineStr">
        <is>
          <t>Unit 11. At the bus stop</t>
        </is>
      </c>
      <c r="G658" s="3" t="inlineStr">
        <is>
          <t>Đúng / Sai</t>
        </is>
      </c>
      <c r="H658" s="14" t="n">
        <v>2</v>
      </c>
      <c r="I658" s="3" t="inlineStr">
        <is>
          <t>Cơ bản</t>
        </is>
      </c>
      <c r="J658" s="3" t="inlineStr">
        <is>
          <t>"truck" nghĩa là xe buýt. Đúng hay sai?</t>
        </is>
      </c>
      <c r="K658" s="3" t="inlineStr">
        <is>
          <t>A. Đúng | B. Sai</t>
        </is>
      </c>
      <c r="L658" s="3" t="inlineStr">
        <is>
          <t>B</t>
        </is>
      </c>
      <c r="M658" s="3" t="inlineStr">
        <is>
          <t>Sai. "truck" là xe tải, xe buýt là "bus".</t>
        </is>
      </c>
      <c r="N658" s="3" t="n"/>
      <c r="O658" s="14" t="n">
        <v>40</v>
      </c>
      <c r="P658" s="14">
        <f>INDEX(Khung_cap_do!$H$2:$H$6,H658)</f>
        <v/>
      </c>
      <c r="Q658" s="3" t="inlineStr">
        <is>
          <t>A1.EXTRA.01</t>
        </is>
      </c>
      <c r="R658" s="3" t="inlineStr">
        <is>
          <t>TA.TUVUNG</t>
        </is>
      </c>
    </row>
    <row r="659">
      <c r="A659" s="3" t="inlineStr">
        <is>
          <t>ta1-gs-u12-q1</t>
        </is>
      </c>
      <c r="B659" s="3" t="inlineStr">
        <is>
          <t>Tiếng Anh</t>
        </is>
      </c>
      <c r="C659" s="3" t="inlineStr">
        <is>
          <t>Global Success</t>
        </is>
      </c>
      <c r="D659" s="3" t="inlineStr">
        <is>
          <t>Unit 12</t>
        </is>
      </c>
      <c r="E659" s="3" t="inlineStr">
        <is>
          <t>Học kì 2 · Unit 9–12 và Review 3</t>
        </is>
      </c>
      <c r="F659" s="3" t="inlineStr">
        <is>
          <t>Unit 12. At the lake</t>
        </is>
      </c>
      <c r="G659" s="3" t="inlineStr">
        <is>
          <t>Chọn đáp án</t>
        </is>
      </c>
      <c r="H659" s="14" t="n">
        <v>1</v>
      </c>
      <c r="I659" s="3" t="inlineStr">
        <is>
          <t>Làm quen</t>
        </is>
      </c>
      <c r="J659" s="3" t="inlineStr">
        <is>
          <t>🍋 Đây là quả gì?</t>
        </is>
      </c>
      <c r="K659" s="3" t="inlineStr">
        <is>
          <t>A. lemon | B. mango | C. apple</t>
        </is>
      </c>
      <c r="L659" s="3" t="inlineStr">
        <is>
          <t>A</t>
        </is>
      </c>
      <c r="M659" s="3" t="inlineStr">
        <is>
          <t>"lemon" là quả chanh.</t>
        </is>
      </c>
      <c r="N659" s="3" t="n"/>
      <c r="O659" s="14" t="n">
        <v>30</v>
      </c>
      <c r="P659" s="14">
        <f>INDEX(Khung_cap_do!$H$2:$H$6,H659)</f>
        <v/>
      </c>
      <c r="Q659" s="3" t="inlineStr">
        <is>
          <t>A1.EXTRA.02</t>
        </is>
      </c>
      <c r="R659" s="3" t="inlineStr">
        <is>
          <t>TA.TUVUNG</t>
        </is>
      </c>
    </row>
    <row r="660">
      <c r="A660" s="3" t="inlineStr">
        <is>
          <t>ta1-gs-u12-q2</t>
        </is>
      </c>
      <c r="B660" s="3" t="inlineStr">
        <is>
          <t>Tiếng Anh</t>
        </is>
      </c>
      <c r="C660" s="3" t="inlineStr">
        <is>
          <t>Global Success</t>
        </is>
      </c>
      <c r="D660" s="3" t="inlineStr">
        <is>
          <t>Unit 12</t>
        </is>
      </c>
      <c r="E660" s="3" t="inlineStr">
        <is>
          <t>Học kì 2 · Unit 9–12 và Review 3</t>
        </is>
      </c>
      <c r="F660" s="3" t="inlineStr">
        <is>
          <t>Unit 12. At the lake</t>
        </is>
      </c>
      <c r="G660" s="3" t="inlineStr">
        <is>
          <t>Chọn đáp án</t>
        </is>
      </c>
      <c r="H660" s="14" t="n">
        <v>1</v>
      </c>
      <c r="I660" s="3" t="inlineStr">
        <is>
          <t>Làm quen</t>
        </is>
      </c>
      <c r="J660" s="3" t="inlineStr">
        <is>
          <t>🍃 Đây là gì?</t>
        </is>
      </c>
      <c r="K660" s="3" t="inlineStr">
        <is>
          <t>A. leaf | B. lake | C. lock</t>
        </is>
      </c>
      <c r="L660" s="3" t="inlineStr">
        <is>
          <t>A</t>
        </is>
      </c>
      <c r="M660" s="3" t="inlineStr">
        <is>
          <t>"leaf" là chiếc lá.</t>
        </is>
      </c>
      <c r="N660" s="3" t="n"/>
      <c r="O660" s="14" t="n">
        <v>30</v>
      </c>
      <c r="P660" s="14">
        <f>INDEX(Khung_cap_do!$H$2:$H$6,H660)</f>
        <v/>
      </c>
      <c r="Q660" s="3" t="inlineStr">
        <is>
          <t>A1.EXTRA.02</t>
        </is>
      </c>
      <c r="R660" s="3" t="inlineStr">
        <is>
          <t>TA.TUVUNG</t>
        </is>
      </c>
    </row>
    <row r="661">
      <c r="A661" s="3" t="inlineStr">
        <is>
          <t>ta1-gs-u12-q3</t>
        </is>
      </c>
      <c r="B661" s="3" t="inlineStr">
        <is>
          <t>Tiếng Anh</t>
        </is>
      </c>
      <c r="C661" s="3" t="inlineStr">
        <is>
          <t>Global Success</t>
        </is>
      </c>
      <c r="D661" s="3" t="inlineStr">
        <is>
          <t>Unit 12</t>
        </is>
      </c>
      <c r="E661" s="3" t="inlineStr">
        <is>
          <t>Học kì 2 · Unit 9–12 và Review 3</t>
        </is>
      </c>
      <c r="F661" s="3" t="inlineStr">
        <is>
          <t>Unit 12. At the lake</t>
        </is>
      </c>
      <c r="G661" s="3" t="inlineStr">
        <is>
          <t>Chọn đáp án</t>
        </is>
      </c>
      <c r="H661" s="14" t="n">
        <v>1</v>
      </c>
      <c r="I661" s="3" t="inlineStr">
        <is>
          <t>Làm quen</t>
        </is>
      </c>
      <c r="J661" s="3" t="inlineStr">
        <is>
          <t>"lake" nghĩa là gì?</t>
        </is>
      </c>
      <c r="K661" s="3" t="inlineStr">
        <is>
          <t>A. hồ nước | B. chiếc lá | C. ổ khóa</t>
        </is>
      </c>
      <c r="L661" s="3" t="inlineStr">
        <is>
          <t>A</t>
        </is>
      </c>
      <c r="M661" s="3" t="inlineStr">
        <is>
          <t>"lake" là hồ nước.</t>
        </is>
      </c>
      <c r="N661" s="3" t="n"/>
      <c r="O661" s="14" t="n">
        <v>30</v>
      </c>
      <c r="P661" s="14">
        <f>INDEX(Khung_cap_do!$H$2:$H$6,H661)</f>
        <v/>
      </c>
      <c r="Q661" s="3" t="inlineStr">
        <is>
          <t>A1.EXTRA.02</t>
        </is>
      </c>
      <c r="R661" s="3" t="inlineStr">
        <is>
          <t>TA.TUVUNG</t>
        </is>
      </c>
    </row>
    <row r="662">
      <c r="A662" s="3" t="inlineStr">
        <is>
          <t>ta1-gs-u12-q4</t>
        </is>
      </c>
      <c r="B662" s="3" t="inlineStr">
        <is>
          <t>Tiếng Anh</t>
        </is>
      </c>
      <c r="C662" s="3" t="inlineStr">
        <is>
          <t>Global Success</t>
        </is>
      </c>
      <c r="D662" s="3" t="inlineStr">
        <is>
          <t>Unit 12</t>
        </is>
      </c>
      <c r="E662" s="3" t="inlineStr">
        <is>
          <t>Học kì 2 · Unit 9–12 và Review 3</t>
        </is>
      </c>
      <c r="F662" s="3" t="inlineStr">
        <is>
          <t>Unit 12. At the lake</t>
        </is>
      </c>
      <c r="G662" s="3" t="inlineStr">
        <is>
          <t>Chọn nhiều đáp án</t>
        </is>
      </c>
      <c r="H662" s="14" t="n">
        <v>2</v>
      </c>
      <c r="I662" s="3" t="inlineStr">
        <is>
          <t>Cơ bản</t>
        </is>
      </c>
      <c r="J662" s="3" t="inlineStr">
        <is>
          <t>Chọn TẤT CẢ các từ bắt đầu bằng chữ l</t>
        </is>
      </c>
      <c r="K662" s="3" t="inlineStr">
        <is>
          <t>A. lake | B. leaf | C. bus | D. lemon | E. mouse</t>
        </is>
      </c>
      <c r="L662" s="3" t="inlineStr">
        <is>
          <t>A, B, D</t>
        </is>
      </c>
      <c r="M662" s="3" t="inlineStr">
        <is>
          <t>lake, leaf, lemon bắt đầu bằng l.</t>
        </is>
      </c>
      <c r="N662" s="3" t="n"/>
      <c r="O662" s="14" t="n">
        <v>50</v>
      </c>
      <c r="P662" s="14">
        <f>INDEX(Khung_cap_do!$H$2:$H$6,H662)</f>
        <v/>
      </c>
      <c r="Q662" s="3" t="inlineStr">
        <is>
          <t>A1.ABC.02</t>
        </is>
      </c>
      <c r="R662" s="3" t="inlineStr">
        <is>
          <t>TA.NHOMTU</t>
        </is>
      </c>
    </row>
    <row r="663">
      <c r="A663" s="3" t="inlineStr">
        <is>
          <t>ta1-gs-u12-q5</t>
        </is>
      </c>
      <c r="B663" s="3" t="inlineStr">
        <is>
          <t>Tiếng Anh</t>
        </is>
      </c>
      <c r="C663" s="3" t="inlineStr">
        <is>
          <t>Global Success</t>
        </is>
      </c>
      <c r="D663" s="3" t="inlineStr">
        <is>
          <t>Unit 12</t>
        </is>
      </c>
      <c r="E663" s="3" t="inlineStr">
        <is>
          <t>Học kì 2 · Unit 9–12 và Review 3</t>
        </is>
      </c>
      <c r="F663" s="3" t="inlineStr">
        <is>
          <t>Unit 12. At the lake</t>
        </is>
      </c>
      <c r="G663" s="3" t="inlineStr">
        <is>
          <t>Điền đáp án</t>
        </is>
      </c>
      <c r="H663" s="14" t="n">
        <v>2</v>
      </c>
      <c r="I663" s="3" t="inlineStr">
        <is>
          <t>Cơ bản</t>
        </is>
      </c>
      <c r="J663" s="3" t="inlineStr">
        <is>
          <t>Điền chữ cái còn thiếu: _eaf (🍃 chiếc lá)</t>
        </is>
      </c>
      <c r="K663" s="3" t="inlineStr"/>
      <c r="L663" s="3" t="inlineStr">
        <is>
          <t>l / leaf</t>
        </is>
      </c>
      <c r="M663" s="3" t="inlineStr">
        <is>
          <t>l + eaf = leaf.</t>
        </is>
      </c>
      <c r="N663" s="3" t="n"/>
      <c r="O663" s="14" t="n">
        <v>50</v>
      </c>
      <c r="P663" s="14">
        <f>INDEX(Khung_cap_do!$H$2:$H$6,H663)</f>
        <v/>
      </c>
      <c r="Q663" s="3" t="inlineStr">
        <is>
          <t>A1.ABC.02</t>
        </is>
      </c>
      <c r="R663" s="3" t="inlineStr">
        <is>
          <t>TA.CHUCAI</t>
        </is>
      </c>
    </row>
    <row r="664">
      <c r="A664" s="3" t="inlineStr">
        <is>
          <t>ta1-gs-u12-q6</t>
        </is>
      </c>
      <c r="B664" s="3" t="inlineStr">
        <is>
          <t>Tiếng Anh</t>
        </is>
      </c>
      <c r="C664" s="3" t="inlineStr">
        <is>
          <t>Global Success</t>
        </is>
      </c>
      <c r="D664" s="3" t="inlineStr">
        <is>
          <t>Unit 12</t>
        </is>
      </c>
      <c r="E664" s="3" t="inlineStr">
        <is>
          <t>Học kì 2 · Unit 9–12 và Review 3</t>
        </is>
      </c>
      <c r="F664" s="3" t="inlineStr">
        <is>
          <t>Unit 12. At the lake</t>
        </is>
      </c>
      <c r="G664" s="3" t="inlineStr">
        <is>
          <t>Chọn đáp án</t>
        </is>
      </c>
      <c r="H664" s="14" t="n">
        <v>3</v>
      </c>
      <c r="I664" s="3" t="inlineStr">
        <is>
          <t>Vận dụng</t>
        </is>
      </c>
      <c r="J664" s="3" t="inlineStr">
        <is>
          <t>"Look at the lemons." nghĩa là gì?</t>
        </is>
      </c>
      <c r="K664" s="3" t="inlineStr">
        <is>
          <t>A. Hãy nhìn những quả chanh kìa. | B. Hãy nhìn những chiếc lá kìa. | C. Hãy nhìn những con khỉ kìa.</t>
        </is>
      </c>
      <c r="L664" s="3" t="inlineStr">
        <is>
          <t>A</t>
        </is>
      </c>
      <c r="M664" s="3" t="inlineStr">
        <is>
          <t>"Look at the …" = Hãy nhìn …; lemons = những quả chanh.</t>
        </is>
      </c>
      <c r="N664" s="3" t="inlineStr">
        <is>
          <t>"Look at" nghĩa là "nhìn vào". "lemons" là nhiều quả chanh. Vậy câu nghĩa là: Hãy nhìn những quả chanh kìa.</t>
        </is>
      </c>
      <c r="O664" s="14" t="n">
        <v>50</v>
      </c>
      <c r="P664" s="14">
        <f>INDEX(Khung_cap_do!$H$2:$H$6,H664)</f>
        <v/>
      </c>
      <c r="Q664" s="3" t="inlineStr">
        <is>
          <t>A1.EXTRA.02</t>
        </is>
      </c>
      <c r="R664" s="3" t="inlineStr">
        <is>
          <t>TA.MAUCAU</t>
        </is>
      </c>
    </row>
    <row r="665">
      <c r="A665" s="3" t="inlineStr">
        <is>
          <t>ta1-gs-u12-q7</t>
        </is>
      </c>
      <c r="B665" s="3" t="inlineStr">
        <is>
          <t>Tiếng Anh</t>
        </is>
      </c>
      <c r="C665" s="3" t="inlineStr">
        <is>
          <t>Global Success</t>
        </is>
      </c>
      <c r="D665" s="3" t="inlineStr">
        <is>
          <t>Unit 12</t>
        </is>
      </c>
      <c r="E665" s="3" t="inlineStr">
        <is>
          <t>Học kì 2 · Unit 9–12 và Review 3</t>
        </is>
      </c>
      <c r="F665" s="3" t="inlineStr">
        <is>
          <t>Unit 12. At the lake</t>
        </is>
      </c>
      <c r="G665" s="3" t="inlineStr">
        <is>
          <t>Sắp xếp</t>
        </is>
      </c>
      <c r="H665" s="14" t="n">
        <v>3</v>
      </c>
      <c r="I665" s="3" t="inlineStr">
        <is>
          <t>Vận dụng</t>
        </is>
      </c>
      <c r="J665" s="3" t="inlineStr">
        <is>
          <t>Sắp xếp các từ thành câu đúng</t>
        </is>
      </c>
      <c r="K665" s="3" t="inlineStr">
        <is>
          <t>Look / at / leaves. / the</t>
        </is>
      </c>
      <c r="L665" s="3" t="inlineStr">
        <is>
          <t>Look → at → the → leaves.</t>
        </is>
      </c>
      <c r="M665" s="3" t="inlineStr">
        <is>
          <t>Look at the leaves. = Hãy nhìn những chiếc lá kìa.</t>
        </is>
      </c>
      <c r="N665" s="3" t="inlineStr">
        <is>
          <t>Từ viết hoa "Look" đứng đầu, rồi "at the", từ có dấu chấm "leaves." đứng cuối.</t>
        </is>
      </c>
      <c r="O665" s="14" t="n">
        <v>65</v>
      </c>
      <c r="P665" s="14">
        <f>INDEX(Khung_cap_do!$H$2:$H$6,H665)</f>
        <v/>
      </c>
      <c r="Q665" s="3" t="inlineStr">
        <is>
          <t>A1.EXTRA.02</t>
        </is>
      </c>
      <c r="R665" s="3" t="inlineStr">
        <is>
          <t>TA.MAUCAU</t>
        </is>
      </c>
    </row>
    <row r="666">
      <c r="A666" s="3" t="inlineStr">
        <is>
          <t>ta1-gs-u12-q8</t>
        </is>
      </c>
      <c r="B666" s="3" t="inlineStr">
        <is>
          <t>Tiếng Anh</t>
        </is>
      </c>
      <c r="C666" s="3" t="inlineStr">
        <is>
          <t>Global Success</t>
        </is>
      </c>
      <c r="D666" s="3" t="inlineStr">
        <is>
          <t>Unit 12</t>
        </is>
      </c>
      <c r="E666" s="3" t="inlineStr">
        <is>
          <t>Học kì 2 · Unit 9–12 và Review 3</t>
        </is>
      </c>
      <c r="F666" s="3" t="inlineStr">
        <is>
          <t>Unit 12. At the lake</t>
        </is>
      </c>
      <c r="G666" s="3" t="inlineStr">
        <is>
          <t>Đúng / Sai</t>
        </is>
      </c>
      <c r="H666" s="14" t="n">
        <v>1</v>
      </c>
      <c r="I666" s="3" t="inlineStr">
        <is>
          <t>Làm quen</t>
        </is>
      </c>
      <c r="J666" s="3" t="inlineStr">
        <is>
          <t>"lemon" bắt đầu bằng chữ l. Đúng hay sai?</t>
        </is>
      </c>
      <c r="K666" s="3" t="inlineStr">
        <is>
          <t>A. Đúng | B. Sai</t>
        </is>
      </c>
      <c r="L666" s="3" t="inlineStr">
        <is>
          <t>A</t>
        </is>
      </c>
      <c r="M666" s="3" t="inlineStr">
        <is>
          <t>Đúng: l – e – m – o – n.</t>
        </is>
      </c>
      <c r="N666" s="3" t="n"/>
      <c r="O666" s="14" t="n">
        <v>30</v>
      </c>
      <c r="P666" s="14">
        <f>INDEX(Khung_cap_do!$H$2:$H$6,H666)</f>
        <v/>
      </c>
      <c r="Q666" s="3" t="inlineStr">
        <is>
          <t>A1.ABC.02</t>
        </is>
      </c>
      <c r="R666" s="3" t="inlineStr">
        <is>
          <t>TA.CHUCAI</t>
        </is>
      </c>
    </row>
    <row r="667">
      <c r="A667" s="3" t="inlineStr">
        <is>
          <t>ta1-gs-review3-q1</t>
        </is>
      </c>
      <c r="B667" s="3" t="inlineStr">
        <is>
          <t>Tiếng Anh</t>
        </is>
      </c>
      <c r="C667" s="3" t="inlineStr">
        <is>
          <t>Global Success</t>
        </is>
      </c>
      <c r="D667" s="3" t="inlineStr">
        <is>
          <t>Review 3</t>
        </is>
      </c>
      <c r="E667" s="3" t="inlineStr">
        <is>
          <t>Học kì 2 · Unit 9–12 và Review 3</t>
        </is>
      </c>
      <c r="F667" s="3" t="inlineStr">
        <is>
          <t>Review 3. Ôn tập Unit 9–12</t>
        </is>
      </c>
      <c r="G667" s="3" t="inlineStr">
        <is>
          <t>Ghép cặp</t>
        </is>
      </c>
      <c r="H667" s="14" t="n">
        <v>2</v>
      </c>
      <c r="I667" s="3" t="inlineStr">
        <is>
          <t>Cơ bản</t>
        </is>
      </c>
      <c r="J667" s="3" t="inlineStr">
        <is>
          <t>Ghép hình với từ đúng</t>
        </is>
      </c>
      <c r="K667" s="3" t="inlineStr">
        <is>
          <t>🕰️ ↔ ? / 🐒 ↔ ? / 🚌 ↔ ? / 🍋 ↔ ?</t>
        </is>
      </c>
      <c r="L667" s="3" t="inlineStr">
        <is>
          <t>🕰️ – clock; 🐒 – monkey; 🚌 – bus; 🍋 – lemon</t>
        </is>
      </c>
      <c r="M667" s="3" t="inlineStr">
        <is>
          <t>clock, monkey, bus, lemon.</t>
        </is>
      </c>
      <c r="N667" s="3" t="n"/>
      <c r="O667" s="14" t="n">
        <v>55</v>
      </c>
      <c r="P667" s="14">
        <f>INDEX(Khung_cap_do!$H$2:$H$6,H667)</f>
        <v/>
      </c>
      <c r="Q667" s="3" t="inlineStr">
        <is>
          <t>A1.ABC.02</t>
        </is>
      </c>
      <c r="R667" s="3" t="inlineStr">
        <is>
          <t>TA.NOINGHIA</t>
        </is>
      </c>
    </row>
    <row r="668">
      <c r="A668" s="3" t="inlineStr">
        <is>
          <t>ta1-gs-review3-q2</t>
        </is>
      </c>
      <c r="B668" s="3" t="inlineStr">
        <is>
          <t>Tiếng Anh</t>
        </is>
      </c>
      <c r="C668" s="3" t="inlineStr">
        <is>
          <t>Global Success</t>
        </is>
      </c>
      <c r="D668" s="3" t="inlineStr">
        <is>
          <t>Review 3</t>
        </is>
      </c>
      <c r="E668" s="3" t="inlineStr">
        <is>
          <t>Học kì 2 · Unit 9–12 và Review 3</t>
        </is>
      </c>
      <c r="F668" s="3" t="inlineStr">
        <is>
          <t>Review 3. Ôn tập Unit 9–12</t>
        </is>
      </c>
      <c r="G668" s="3" t="inlineStr">
        <is>
          <t>Chọn nhiều đáp án</t>
        </is>
      </c>
      <c r="H668" s="14" t="n">
        <v>2</v>
      </c>
      <c r="I668" s="3" t="inlineStr">
        <is>
          <t>Cơ bản</t>
        </is>
      </c>
      <c r="J668" s="3" t="inlineStr">
        <is>
          <t>Chọn TẤT CẢ các con vật</t>
        </is>
      </c>
      <c r="K668" s="3" t="inlineStr">
        <is>
          <t>A. mouse | B. truck | C. monkey | D. duck | E. lock</t>
        </is>
      </c>
      <c r="L668" s="3" t="inlineStr">
        <is>
          <t>A, C, D</t>
        </is>
      </c>
      <c r="M668" s="3" t="inlineStr">
        <is>
          <t>mouse, monkey, duck là con vật.</t>
        </is>
      </c>
      <c r="N668" s="3" t="n"/>
      <c r="O668" s="14" t="n">
        <v>50</v>
      </c>
      <c r="P668" s="14">
        <f>INDEX(Khung_cap_do!$H$2:$H$6,H668)</f>
        <v/>
      </c>
      <c r="Q668" s="3" t="inlineStr">
        <is>
          <t>A1.ANIMAL.01</t>
        </is>
      </c>
      <c r="R668" s="3" t="inlineStr">
        <is>
          <t>TA.NHOMTU</t>
        </is>
      </c>
    </row>
    <row r="669">
      <c r="A669" s="3" t="inlineStr">
        <is>
          <t>ta1-gs-review3-q3</t>
        </is>
      </c>
      <c r="B669" s="3" t="inlineStr">
        <is>
          <t>Tiếng Anh</t>
        </is>
      </c>
      <c r="C669" s="3" t="inlineStr">
        <is>
          <t>Global Success</t>
        </is>
      </c>
      <c r="D669" s="3" t="inlineStr">
        <is>
          <t>Review 3</t>
        </is>
      </c>
      <c r="E669" s="3" t="inlineStr">
        <is>
          <t>Học kì 2 · Unit 9–12 và Review 3</t>
        </is>
      </c>
      <c r="F669" s="3" t="inlineStr">
        <is>
          <t>Review 3. Ôn tập Unit 9–12</t>
        </is>
      </c>
      <c r="G669" s="3" t="inlineStr">
        <is>
          <t>Chọn đáp án</t>
        </is>
      </c>
      <c r="H669" s="14" t="n">
        <v>1</v>
      </c>
      <c r="I669" s="3" t="inlineStr">
        <is>
          <t>Làm quen</t>
        </is>
      </c>
      <c r="J669" s="3" t="inlineStr">
        <is>
          <t>Từ nào bắt đầu bằng chữ l?</t>
        </is>
      </c>
      <c r="K669" s="3" t="inlineStr">
        <is>
          <t>A. lake | B. mop | C. sun</t>
        </is>
      </c>
      <c r="L669" s="3" t="inlineStr">
        <is>
          <t>A</t>
        </is>
      </c>
      <c r="M669" s="3" t="inlineStr">
        <is>
          <t>"lake" bắt đầu bằng l.</t>
        </is>
      </c>
      <c r="N669" s="3" t="n"/>
      <c r="O669" s="14" t="n">
        <v>30</v>
      </c>
      <c r="P669" s="14">
        <f>INDEX(Khung_cap_do!$H$2:$H$6,H669)</f>
        <v/>
      </c>
      <c r="Q669" s="3" t="inlineStr">
        <is>
          <t>A1.ABC.02</t>
        </is>
      </c>
      <c r="R669" s="3" t="inlineStr">
        <is>
          <t>TA.CHUCAI</t>
        </is>
      </c>
    </row>
    <row r="670">
      <c r="A670" s="3" t="inlineStr">
        <is>
          <t>ta1-gs-review3-q4</t>
        </is>
      </c>
      <c r="B670" s="3" t="inlineStr">
        <is>
          <t>Tiếng Anh</t>
        </is>
      </c>
      <c r="C670" s="3" t="inlineStr">
        <is>
          <t>Global Success</t>
        </is>
      </c>
      <c r="D670" s="3" t="inlineStr">
        <is>
          <t>Review 3</t>
        </is>
      </c>
      <c r="E670" s="3" t="inlineStr">
        <is>
          <t>Học kì 2 · Unit 9–12 và Review 3</t>
        </is>
      </c>
      <c r="F670" s="3" t="inlineStr">
        <is>
          <t>Review 3. Ôn tập Unit 9–12</t>
        </is>
      </c>
      <c r="G670" s="3" t="inlineStr">
        <is>
          <t>Chọn đáp án</t>
        </is>
      </c>
      <c r="H670" s="14" t="n">
        <v>2</v>
      </c>
      <c r="I670" s="3" t="inlineStr">
        <is>
          <t>Cơ bản</t>
        </is>
      </c>
      <c r="J670" s="3" t="inlineStr">
        <is>
          <t>🥭🥭🥭🥭 How many mangoes?</t>
        </is>
      </c>
      <c r="K670" s="3" t="inlineStr">
        <is>
          <t>A. Four. | B. Five. | C. Three.</t>
        </is>
      </c>
      <c r="L670" s="3" t="inlineStr">
        <is>
          <t>A</t>
        </is>
      </c>
      <c r="M670" s="3" t="inlineStr">
        <is>
          <t>Có 4 quả xoài: four.</t>
        </is>
      </c>
      <c r="N670" s="3" t="inlineStr">
        <is>
          <t>Đếm: 1, 2, 3, 4. Số 4 tiếng Anh là "four".</t>
        </is>
      </c>
      <c r="O670" s="14" t="n">
        <v>40</v>
      </c>
      <c r="P670" s="14">
        <f>INDEX(Khung_cap_do!$H$2:$H$6,H670)</f>
        <v/>
      </c>
      <c r="Q670" s="3" t="inlineStr">
        <is>
          <t>A1.NUM.02</t>
        </is>
      </c>
      <c r="R670" s="3" t="inlineStr">
        <is>
          <t>TA.MAUCAU</t>
        </is>
      </c>
    </row>
    <row r="671">
      <c r="A671" s="3" t="inlineStr">
        <is>
          <t>ta1-gs-review3-q5</t>
        </is>
      </c>
      <c r="B671" s="3" t="inlineStr">
        <is>
          <t>Tiếng Anh</t>
        </is>
      </c>
      <c r="C671" s="3" t="inlineStr">
        <is>
          <t>Global Success</t>
        </is>
      </c>
      <c r="D671" s="3" t="inlineStr">
        <is>
          <t>Review 3</t>
        </is>
      </c>
      <c r="E671" s="3" t="inlineStr">
        <is>
          <t>Học kì 2 · Unit 9–12 và Review 3</t>
        </is>
      </c>
      <c r="F671" s="3" t="inlineStr">
        <is>
          <t>Review 3. Ôn tập Unit 9–12</t>
        </is>
      </c>
      <c r="G671" s="3" t="inlineStr">
        <is>
          <t>Điền đáp án</t>
        </is>
      </c>
      <c r="H671" s="14" t="n">
        <v>2</v>
      </c>
      <c r="I671" s="3" t="inlineStr">
        <is>
          <t>Cơ bản</t>
        </is>
      </c>
      <c r="J671" s="3" t="inlineStr">
        <is>
          <t>Điền chữ cái còn thiếu: tr_ck (🚚 xe tải)</t>
        </is>
      </c>
      <c r="K671" s="3" t="inlineStr"/>
      <c r="L671" s="3" t="inlineStr">
        <is>
          <t>u / truck</t>
        </is>
      </c>
      <c r="M671" s="3" t="inlineStr">
        <is>
          <t>tr + u + ck = truck.</t>
        </is>
      </c>
      <c r="N671" s="3" t="n"/>
      <c r="O671" s="14" t="n">
        <v>50</v>
      </c>
      <c r="P671" s="14">
        <f>INDEX(Khung_cap_do!$H$2:$H$6,H671)</f>
        <v/>
      </c>
      <c r="Q671" s="3" t="inlineStr">
        <is>
          <t>A1.ABC.01</t>
        </is>
      </c>
      <c r="R671" s="3" t="inlineStr">
        <is>
          <t>TA.CHUCAI</t>
        </is>
      </c>
    </row>
    <row r="672">
      <c r="A672" s="3" t="inlineStr">
        <is>
          <t>ta1-gs-review3-q6</t>
        </is>
      </c>
      <c r="B672" s="3" t="inlineStr">
        <is>
          <t>Tiếng Anh</t>
        </is>
      </c>
      <c r="C672" s="3" t="inlineStr">
        <is>
          <t>Global Success</t>
        </is>
      </c>
      <c r="D672" s="3" t="inlineStr">
        <is>
          <t>Review 3</t>
        </is>
      </c>
      <c r="E672" s="3" t="inlineStr">
        <is>
          <t>Học kì 2 · Unit 9–12 và Review 3</t>
        </is>
      </c>
      <c r="F672" s="3" t="inlineStr">
        <is>
          <t>Review 3. Ôn tập Unit 9–12</t>
        </is>
      </c>
      <c r="G672" s="3" t="inlineStr">
        <is>
          <t>Chọn đáp án</t>
        </is>
      </c>
      <c r="H672" s="14" t="n">
        <v>3</v>
      </c>
      <c r="I672" s="3" t="inlineStr">
        <is>
          <t>Vận dụng</t>
        </is>
      </c>
      <c r="J672" s="3" t="inlineStr">
        <is>
          <t>👦🏃 Bạn trai đang chạy. Em nói:</t>
        </is>
      </c>
      <c r="K672" s="3" t="inlineStr">
        <is>
          <t>A. He's running. | B. She's running. | C. That's a bus.</t>
        </is>
      </c>
      <c r="L672" s="3" t="inlineStr">
        <is>
          <t>A</t>
        </is>
      </c>
      <c r="M672" s="3" t="inlineStr">
        <is>
          <t>Bạn trai dùng "He".</t>
        </is>
      </c>
      <c r="N672" s="3" t="inlineStr">
        <is>
          <t>Bạn trai dùng "He", bạn gái dùng "She". Bạn trai đang chạy: He's running.</t>
        </is>
      </c>
      <c r="O672" s="14" t="n">
        <v>50</v>
      </c>
      <c r="P672" s="14">
        <f>INDEX(Khung_cap_do!$H$2:$H$6,H672)</f>
        <v/>
      </c>
      <c r="Q672" s="3" t="inlineStr">
        <is>
          <t>A1.HELLO.02</t>
        </is>
      </c>
      <c r="R672" s="3" t="inlineStr">
        <is>
          <t>TA.MAUCAU</t>
        </is>
      </c>
    </row>
    <row r="673">
      <c r="A673" s="3" t="inlineStr">
        <is>
          <t>ta1-gs-review3-q7</t>
        </is>
      </c>
      <c r="B673" s="3" t="inlineStr">
        <is>
          <t>Tiếng Anh</t>
        </is>
      </c>
      <c r="C673" s="3" t="inlineStr">
        <is>
          <t>Global Success</t>
        </is>
      </c>
      <c r="D673" s="3" t="inlineStr">
        <is>
          <t>Review 3</t>
        </is>
      </c>
      <c r="E673" s="3" t="inlineStr">
        <is>
          <t>Học kì 2 · Unit 9–12 và Review 3</t>
        </is>
      </c>
      <c r="F673" s="3" t="inlineStr">
        <is>
          <t>Review 3. Ôn tập Unit 9–12</t>
        </is>
      </c>
      <c r="G673" s="3" t="inlineStr">
        <is>
          <t>Sắp xếp</t>
        </is>
      </c>
      <c r="H673" s="14" t="n">
        <v>3</v>
      </c>
      <c r="I673" s="3" t="inlineStr">
        <is>
          <t>Vận dụng</t>
        </is>
      </c>
      <c r="J673" s="3" t="inlineStr">
        <is>
          <t>Sắp xếp các từ thành câu đúng</t>
        </is>
      </c>
      <c r="K673" s="3" t="inlineStr">
        <is>
          <t>That's / a / mouse.</t>
        </is>
      </c>
      <c r="L673" s="3" t="inlineStr">
        <is>
          <t>That's → a → mouse.</t>
        </is>
      </c>
      <c r="M673" s="3" t="inlineStr">
        <is>
          <t>That's a mouse. = Đó là một con chuột.</t>
        </is>
      </c>
      <c r="N673" s="3" t="inlineStr">
        <is>
          <t>Mẫu câu: That's – a – … . Từ có dấu chấm "mouse." đứng cuối.</t>
        </is>
      </c>
      <c r="O673" s="14" t="n">
        <v>65</v>
      </c>
      <c r="P673" s="14">
        <f>INDEX(Khung_cap_do!$H$2:$H$6,H673)</f>
        <v/>
      </c>
      <c r="Q673" s="3" t="inlineStr">
        <is>
          <t>A1.ANIMAL.01</t>
        </is>
      </c>
      <c r="R673" s="3" t="inlineStr">
        <is>
          <t>TA.MAUCAU</t>
        </is>
      </c>
    </row>
    <row r="674">
      <c r="A674" s="3" t="inlineStr">
        <is>
          <t>ta1-gs-review3-q8</t>
        </is>
      </c>
      <c r="B674" s="3" t="inlineStr">
        <is>
          <t>Tiếng Anh</t>
        </is>
      </c>
      <c r="C674" s="3" t="inlineStr">
        <is>
          <t>Global Success</t>
        </is>
      </c>
      <c r="D674" s="3" t="inlineStr">
        <is>
          <t>Review 3</t>
        </is>
      </c>
      <c r="E674" s="3" t="inlineStr">
        <is>
          <t>Học kì 2 · Unit 9–12 và Review 3</t>
        </is>
      </c>
      <c r="F674" s="3" t="inlineStr">
        <is>
          <t>Review 3. Ôn tập Unit 9–12</t>
        </is>
      </c>
      <c r="G674" s="3" t="inlineStr">
        <is>
          <t>Đúng / Sai</t>
        </is>
      </c>
      <c r="H674" s="14" t="n">
        <v>1</v>
      </c>
      <c r="I674" s="3" t="inlineStr">
        <is>
          <t>Làm quen</t>
        </is>
      </c>
      <c r="J674" s="3" t="inlineStr">
        <is>
          <t>"mother" nghĩa là mẹ. Đúng hay sai?</t>
        </is>
      </c>
      <c r="K674" s="3" t="inlineStr">
        <is>
          <t>A. Đúng | B. Sai</t>
        </is>
      </c>
      <c r="L674" s="3" t="inlineStr">
        <is>
          <t>A</t>
        </is>
      </c>
      <c r="M674" s="3" t="inlineStr">
        <is>
          <t>Đúng.</t>
        </is>
      </c>
      <c r="N674" s="3" t="n"/>
      <c r="O674" s="14" t="n">
        <v>30</v>
      </c>
      <c r="P674" s="14">
        <f>INDEX(Khung_cap_do!$H$2:$H$6,H674)</f>
        <v/>
      </c>
      <c r="Q674" s="3" t="inlineStr">
        <is>
          <t>A1.FAMILY.01</t>
        </is>
      </c>
      <c r="R674" s="3" t="inlineStr">
        <is>
          <t>TA.TUVUNG</t>
        </is>
      </c>
    </row>
    <row r="675">
      <c r="A675" s="3" t="inlineStr">
        <is>
          <t>ta1-gs-u13-q1</t>
        </is>
      </c>
      <c r="B675" s="3" t="inlineStr">
        <is>
          <t>Tiếng Anh</t>
        </is>
      </c>
      <c r="C675" s="3" t="inlineStr">
        <is>
          <t>Global Success</t>
        </is>
      </c>
      <c r="D675" s="3" t="inlineStr">
        <is>
          <t>Unit 13</t>
        </is>
      </c>
      <c r="E675" s="3" t="inlineStr">
        <is>
          <t>Học kì 2 · Unit 13–16 và Review 4</t>
        </is>
      </c>
      <c r="F675" s="3" t="inlineStr">
        <is>
          <t>Unit 13. In the school canteen</t>
        </is>
      </c>
      <c r="G675" s="3" t="inlineStr">
        <is>
          <t>Chọn đáp án</t>
        </is>
      </c>
      <c r="H675" s="14" t="n">
        <v>1</v>
      </c>
      <c r="I675" s="3" t="inlineStr">
        <is>
          <t>Làm quen</t>
        </is>
      </c>
      <c r="J675" s="3" t="inlineStr">
        <is>
          <t>🍌 Đây là quả gì?</t>
        </is>
      </c>
      <c r="K675" s="3" t="inlineStr">
        <is>
          <t>A. banana | B. lemon | C. mango</t>
        </is>
      </c>
      <c r="L675" s="3" t="inlineStr">
        <is>
          <t>A</t>
        </is>
      </c>
      <c r="M675" s="3" t="inlineStr">
        <is>
          <t>"banana" là quả chuối.</t>
        </is>
      </c>
      <c r="N675" s="3" t="n"/>
      <c r="O675" s="14" t="n">
        <v>30</v>
      </c>
      <c r="P675" s="14">
        <f>INDEX(Khung_cap_do!$H$2:$H$6,H675)</f>
        <v/>
      </c>
      <c r="Q675" s="3" t="inlineStr">
        <is>
          <t>A1.EXTRA.02</t>
        </is>
      </c>
      <c r="R675" s="3" t="inlineStr">
        <is>
          <t>TA.TUVUNG</t>
        </is>
      </c>
    </row>
    <row r="676">
      <c r="A676" s="3" t="inlineStr">
        <is>
          <t>ta1-gs-u13-q2</t>
        </is>
      </c>
      <c r="B676" s="3" t="inlineStr">
        <is>
          <t>Tiếng Anh</t>
        </is>
      </c>
      <c r="C676" s="3" t="inlineStr">
        <is>
          <t>Global Success</t>
        </is>
      </c>
      <c r="D676" s="3" t="inlineStr">
        <is>
          <t>Unit 13</t>
        </is>
      </c>
      <c r="E676" s="3" t="inlineStr">
        <is>
          <t>Học kì 2 · Unit 13–16 và Review 4</t>
        </is>
      </c>
      <c r="F676" s="3" t="inlineStr">
        <is>
          <t>Unit 13. In the school canteen</t>
        </is>
      </c>
      <c r="G676" s="3" t="inlineStr">
        <is>
          <t>Chọn đáp án</t>
        </is>
      </c>
      <c r="H676" s="14" t="n">
        <v>1</v>
      </c>
      <c r="I676" s="3" t="inlineStr">
        <is>
          <t>Làm quen</t>
        </is>
      </c>
      <c r="J676" s="3" t="inlineStr">
        <is>
          <t>🍜 Đây là món gì?</t>
        </is>
      </c>
      <c r="K676" s="3" t="inlineStr">
        <is>
          <t>A. noodles | B. chips | C. milk</t>
        </is>
      </c>
      <c r="L676" s="3" t="inlineStr">
        <is>
          <t>A</t>
        </is>
      </c>
      <c r="M676" s="3" t="inlineStr">
        <is>
          <t>"noodles" là mì sợi.</t>
        </is>
      </c>
      <c r="N676" s="3" t="n"/>
      <c r="O676" s="14" t="n">
        <v>30</v>
      </c>
      <c r="P676" s="14">
        <f>INDEX(Khung_cap_do!$H$2:$H$6,H676)</f>
        <v/>
      </c>
      <c r="Q676" s="3" t="inlineStr">
        <is>
          <t>A1.EXTRA.02</t>
        </is>
      </c>
      <c r="R676" s="3" t="inlineStr">
        <is>
          <t>TA.TUVUNG</t>
        </is>
      </c>
    </row>
    <row r="677">
      <c r="A677" s="3" t="inlineStr">
        <is>
          <t>ta1-gs-u13-q3</t>
        </is>
      </c>
      <c r="B677" s="3" t="inlineStr">
        <is>
          <t>Tiếng Anh</t>
        </is>
      </c>
      <c r="C677" s="3" t="inlineStr">
        <is>
          <t>Global Success</t>
        </is>
      </c>
      <c r="D677" s="3" t="inlineStr">
        <is>
          <t>Unit 13</t>
        </is>
      </c>
      <c r="E677" s="3" t="inlineStr">
        <is>
          <t>Học kì 2 · Unit 13–16 và Review 4</t>
        </is>
      </c>
      <c r="F677" s="3" t="inlineStr">
        <is>
          <t>Unit 13. In the school canteen</t>
        </is>
      </c>
      <c r="G677" s="3" t="inlineStr">
        <is>
          <t>Chọn đáp án</t>
        </is>
      </c>
      <c r="H677" s="14" t="n">
        <v>1</v>
      </c>
      <c r="I677" s="3" t="inlineStr">
        <is>
          <t>Làm quen</t>
        </is>
      </c>
      <c r="J677" s="3" t="inlineStr">
        <is>
          <t>🥜 Đây là gì?</t>
        </is>
      </c>
      <c r="K677" s="3" t="inlineStr">
        <is>
          <t>A. nut | B. pot | C. sun</t>
        </is>
      </c>
      <c r="L677" s="3" t="inlineStr">
        <is>
          <t>A</t>
        </is>
      </c>
      <c r="M677" s="3" t="inlineStr">
        <is>
          <t>"nut" là hạt (hạt lạc, hạt dẻ…).</t>
        </is>
      </c>
      <c r="N677" s="3" t="n"/>
      <c r="O677" s="14" t="n">
        <v>30</v>
      </c>
      <c r="P677" s="14">
        <f>INDEX(Khung_cap_do!$H$2:$H$6,H677)</f>
        <v/>
      </c>
      <c r="Q677" s="3" t="inlineStr">
        <is>
          <t>A1.EXTRA.02</t>
        </is>
      </c>
      <c r="R677" s="3" t="inlineStr">
        <is>
          <t>TA.TUVUNG</t>
        </is>
      </c>
    </row>
    <row r="678">
      <c r="A678" s="3" t="inlineStr">
        <is>
          <t>ta1-gs-u13-q4</t>
        </is>
      </c>
      <c r="B678" s="3" t="inlineStr">
        <is>
          <t>Tiếng Anh</t>
        </is>
      </c>
      <c r="C678" s="3" t="inlineStr">
        <is>
          <t>Global Success</t>
        </is>
      </c>
      <c r="D678" s="3" t="inlineStr">
        <is>
          <t>Unit 13</t>
        </is>
      </c>
      <c r="E678" s="3" t="inlineStr">
        <is>
          <t>Học kì 2 · Unit 13–16 và Review 4</t>
        </is>
      </c>
      <c r="F678" s="3" t="inlineStr">
        <is>
          <t>Unit 13. In the school canteen</t>
        </is>
      </c>
      <c r="G678" s="3" t="inlineStr">
        <is>
          <t>Ghép cặp</t>
        </is>
      </c>
      <c r="H678" s="14" t="n">
        <v>2</v>
      </c>
      <c r="I678" s="3" t="inlineStr">
        <is>
          <t>Cơ bản</t>
        </is>
      </c>
      <c r="J678" s="3" t="inlineStr">
        <is>
          <t>Ghép từ tiếng Anh với nghĩa</t>
        </is>
      </c>
      <c r="K678" s="3" t="inlineStr">
        <is>
          <t>banana ↔ ? / noodles ↔ ? / nut ↔ ?</t>
        </is>
      </c>
      <c r="L678" s="3" t="inlineStr">
        <is>
          <t>banana – quả chuối; noodles – mì sợi; nut – hạt lạc</t>
        </is>
      </c>
      <c r="M678" s="3" t="inlineStr">
        <is>
          <t>banana – quả chuối; noodles – mì sợi; nut – hạt lạc.</t>
        </is>
      </c>
      <c r="N678" s="3" t="n"/>
      <c r="O678" s="14" t="n">
        <v>55</v>
      </c>
      <c r="P678" s="14">
        <f>INDEX(Khung_cap_do!$H$2:$H$6,H678)</f>
        <v/>
      </c>
      <c r="Q678" s="3" t="inlineStr">
        <is>
          <t>A1.EXTRA.02</t>
        </is>
      </c>
      <c r="R678" s="3" t="inlineStr">
        <is>
          <t>TA.NOINGHIA</t>
        </is>
      </c>
    </row>
    <row r="679">
      <c r="A679" s="3" t="inlineStr">
        <is>
          <t>ta1-gs-u13-q5</t>
        </is>
      </c>
      <c r="B679" s="3" t="inlineStr">
        <is>
          <t>Tiếng Anh</t>
        </is>
      </c>
      <c r="C679" s="3" t="inlineStr">
        <is>
          <t>Global Success</t>
        </is>
      </c>
      <c r="D679" s="3" t="inlineStr">
        <is>
          <t>Unit 13</t>
        </is>
      </c>
      <c r="E679" s="3" t="inlineStr">
        <is>
          <t>Học kì 2 · Unit 13–16 và Review 4</t>
        </is>
      </c>
      <c r="F679" s="3" t="inlineStr">
        <is>
          <t>Unit 13. In the school canteen</t>
        </is>
      </c>
      <c r="G679" s="3" t="inlineStr">
        <is>
          <t>Chọn nhiều đáp án</t>
        </is>
      </c>
      <c r="H679" s="14" t="n">
        <v>2</v>
      </c>
      <c r="I679" s="3" t="inlineStr">
        <is>
          <t>Cơ bản</t>
        </is>
      </c>
      <c r="J679" s="3" t="inlineStr">
        <is>
          <t>Chọn TẤT CẢ các từ có chữ n</t>
        </is>
      </c>
      <c r="K679" s="3" t="inlineStr">
        <is>
          <t>A. banana | B. nut | C. bus | D. noodles | E. cup</t>
        </is>
      </c>
      <c r="L679" s="3" t="inlineStr">
        <is>
          <t>A, B, D</t>
        </is>
      </c>
      <c r="M679" s="3" t="inlineStr">
        <is>
          <t>banana, nut, noodles có chữ n.</t>
        </is>
      </c>
      <c r="N679" s="3" t="n"/>
      <c r="O679" s="14" t="n">
        <v>50</v>
      </c>
      <c r="P679" s="14">
        <f>INDEX(Khung_cap_do!$H$2:$H$6,H679)</f>
        <v/>
      </c>
      <c r="Q679" s="3" t="inlineStr">
        <is>
          <t>A1.ABC.01</t>
        </is>
      </c>
      <c r="R679" s="3" t="inlineStr">
        <is>
          <t>TA.NHOMTU</t>
        </is>
      </c>
    </row>
    <row r="680">
      <c r="A680" s="3" t="inlineStr">
        <is>
          <t>ta1-gs-u13-q6</t>
        </is>
      </c>
      <c r="B680" s="3" t="inlineStr">
        <is>
          <t>Tiếng Anh</t>
        </is>
      </c>
      <c r="C680" s="3" t="inlineStr">
        <is>
          <t>Global Success</t>
        </is>
      </c>
      <c r="D680" s="3" t="inlineStr">
        <is>
          <t>Unit 13</t>
        </is>
      </c>
      <c r="E680" s="3" t="inlineStr">
        <is>
          <t>Học kì 2 · Unit 13–16 và Review 4</t>
        </is>
      </c>
      <c r="F680" s="3" t="inlineStr">
        <is>
          <t>Unit 13. In the school canteen</t>
        </is>
      </c>
      <c r="G680" s="3" t="inlineStr">
        <is>
          <t>Điền đáp án</t>
        </is>
      </c>
      <c r="H680" s="14" t="n">
        <v>2</v>
      </c>
      <c r="I680" s="3" t="inlineStr">
        <is>
          <t>Cơ bản</t>
        </is>
      </c>
      <c r="J680" s="3" t="inlineStr">
        <is>
          <t>Điền chữ cái còn thiếu: _ut (🥜 hạt lạc)</t>
        </is>
      </c>
      <c r="K680" s="3" t="inlineStr"/>
      <c r="L680" s="3" t="inlineStr">
        <is>
          <t>n / nut</t>
        </is>
      </c>
      <c r="M680" s="3" t="inlineStr">
        <is>
          <t>n + ut = nut.</t>
        </is>
      </c>
      <c r="N680" s="3" t="n"/>
      <c r="O680" s="14" t="n">
        <v>50</v>
      </c>
      <c r="P680" s="14">
        <f>INDEX(Khung_cap_do!$H$2:$H$6,H680)</f>
        <v/>
      </c>
      <c r="Q680" s="3" t="inlineStr">
        <is>
          <t>A1.ABC.02</t>
        </is>
      </c>
      <c r="R680" s="3" t="inlineStr">
        <is>
          <t>TA.CHUCAI</t>
        </is>
      </c>
    </row>
    <row r="681">
      <c r="A681" s="3" t="inlineStr">
        <is>
          <t>ta1-gs-u13-q7</t>
        </is>
      </c>
      <c r="B681" s="3" t="inlineStr">
        <is>
          <t>Tiếng Anh</t>
        </is>
      </c>
      <c r="C681" s="3" t="inlineStr">
        <is>
          <t>Global Success</t>
        </is>
      </c>
      <c r="D681" s="3" t="inlineStr">
        <is>
          <t>Unit 13</t>
        </is>
      </c>
      <c r="E681" s="3" t="inlineStr">
        <is>
          <t>Học kì 2 · Unit 13–16 và Review 4</t>
        </is>
      </c>
      <c r="F681" s="3" t="inlineStr">
        <is>
          <t>Unit 13. In the school canteen</t>
        </is>
      </c>
      <c r="G681" s="3" t="inlineStr">
        <is>
          <t>Chọn đáp án</t>
        </is>
      </c>
      <c r="H681" s="14" t="n">
        <v>3</v>
      </c>
      <c r="I681" s="3" t="inlineStr">
        <is>
          <t>Vận dụng</t>
        </is>
      </c>
      <c r="J681" s="3" t="inlineStr">
        <is>
          <t>👧🍜 Ở căng tin, bạn gái đang ăn mì. Câu nào đúng?</t>
        </is>
      </c>
      <c r="K681" s="3" t="inlineStr">
        <is>
          <t>A. She's having noodles. | B. She's having milk. | C. She's having a banana.</t>
        </is>
      </c>
      <c r="L681" s="3" t="inlineStr">
        <is>
          <t>A</t>
        </is>
      </c>
      <c r="M681" s="3" t="inlineStr">
        <is>
          <t>"She's having noodles." = Bạn ấy đang ăn mì.</t>
        </is>
      </c>
      <c r="N681" s="3" t="inlineStr">
        <is>
          <t>"She's having …" nghĩa là "Bạn ấy đang ăn/uống …". Mì là "noodles". Vậy: She's having noodles.</t>
        </is>
      </c>
      <c r="O681" s="14" t="n">
        <v>50</v>
      </c>
      <c r="P681" s="14">
        <f>INDEX(Khung_cap_do!$H$2:$H$6,H681)</f>
        <v/>
      </c>
      <c r="Q681" s="3" t="inlineStr">
        <is>
          <t>A1.EXTRA.02</t>
        </is>
      </c>
      <c r="R681" s="3" t="inlineStr">
        <is>
          <t>TA.MAUCAU</t>
        </is>
      </c>
    </row>
    <row r="682">
      <c r="A682" s="3" t="inlineStr">
        <is>
          <t>ta1-gs-u13-q8</t>
        </is>
      </c>
      <c r="B682" s="3" t="inlineStr">
        <is>
          <t>Tiếng Anh</t>
        </is>
      </c>
      <c r="C682" s="3" t="inlineStr">
        <is>
          <t>Global Success</t>
        </is>
      </c>
      <c r="D682" s="3" t="inlineStr">
        <is>
          <t>Unit 13</t>
        </is>
      </c>
      <c r="E682" s="3" t="inlineStr">
        <is>
          <t>Học kì 2 · Unit 13–16 và Review 4</t>
        </is>
      </c>
      <c r="F682" s="3" t="inlineStr">
        <is>
          <t>Unit 13. In the school canteen</t>
        </is>
      </c>
      <c r="G682" s="3" t="inlineStr">
        <is>
          <t>Sắp xếp</t>
        </is>
      </c>
      <c r="H682" s="14" t="n">
        <v>3</v>
      </c>
      <c r="I682" s="3" t="inlineStr">
        <is>
          <t>Vận dụng</t>
        </is>
      </c>
      <c r="J682" s="3" t="inlineStr">
        <is>
          <t>Sắp xếp các từ thành câu đúng</t>
        </is>
      </c>
      <c r="K682" s="3" t="inlineStr">
        <is>
          <t>He's / a / banana. / having</t>
        </is>
      </c>
      <c r="L682" s="3" t="inlineStr">
        <is>
          <t>He's → having → a → banana.</t>
        </is>
      </c>
      <c r="M682" s="3" t="inlineStr">
        <is>
          <t>He's having a banana. = Bạn ấy đang ăn một quả chuối.</t>
        </is>
      </c>
      <c r="N682" s="3" t="inlineStr">
        <is>
          <t>Câu bắt đầu bằng "He's", tiếp theo "having a", cuối câu là "banana."</t>
        </is>
      </c>
      <c r="O682" s="14" t="n">
        <v>65</v>
      </c>
      <c r="P682" s="14">
        <f>INDEX(Khung_cap_do!$H$2:$H$6,H682)</f>
        <v/>
      </c>
      <c r="Q682" s="3" t="inlineStr">
        <is>
          <t>A1.EXTRA.02</t>
        </is>
      </c>
      <c r="R682" s="3" t="inlineStr">
        <is>
          <t>TA.MAUCAU</t>
        </is>
      </c>
    </row>
    <row r="683">
      <c r="A683" s="3" t="inlineStr">
        <is>
          <t>ta1-gs-u14-q1</t>
        </is>
      </c>
      <c r="B683" s="3" t="inlineStr">
        <is>
          <t>Tiếng Anh</t>
        </is>
      </c>
      <c r="C683" s="3" t="inlineStr">
        <is>
          <t>Global Success</t>
        </is>
      </c>
      <c r="D683" s="3" t="inlineStr">
        <is>
          <t>Unit 14</t>
        </is>
      </c>
      <c r="E683" s="3" t="inlineStr">
        <is>
          <t>Học kì 2 · Unit 13–16 và Review 4</t>
        </is>
      </c>
      <c r="F683" s="3" t="inlineStr">
        <is>
          <t>Unit 14. In the toy shop</t>
        </is>
      </c>
      <c r="G683" s="3" t="inlineStr">
        <is>
          <t>Chọn đáp án</t>
        </is>
      </c>
      <c r="H683" s="14" t="n">
        <v>1</v>
      </c>
      <c r="I683" s="3" t="inlineStr">
        <is>
          <t>Làm quen</t>
        </is>
      </c>
      <c r="J683" s="3" t="inlineStr">
        <is>
          <t>🐯 Đây là con gì?</t>
        </is>
      </c>
      <c r="K683" s="3" t="inlineStr">
        <is>
          <t>A. tiger | B. turtle | C. monkey</t>
        </is>
      </c>
      <c r="L683" s="3" t="inlineStr">
        <is>
          <t>A</t>
        </is>
      </c>
      <c r="M683" s="3" t="inlineStr">
        <is>
          <t>"tiger" là con hổ.</t>
        </is>
      </c>
      <c r="N683" s="3" t="n"/>
      <c r="O683" s="14" t="n">
        <v>30</v>
      </c>
      <c r="P683" s="14">
        <f>INDEX(Khung_cap_do!$H$2:$H$6,H683)</f>
        <v/>
      </c>
      <c r="Q683" s="3" t="inlineStr">
        <is>
          <t>A1.ANIMAL.01</t>
        </is>
      </c>
      <c r="R683" s="3" t="inlineStr">
        <is>
          <t>TA.TUVUNG</t>
        </is>
      </c>
    </row>
    <row r="684">
      <c r="A684" s="3" t="inlineStr">
        <is>
          <t>ta1-gs-u14-q2</t>
        </is>
      </c>
      <c r="B684" s="3" t="inlineStr">
        <is>
          <t>Tiếng Anh</t>
        </is>
      </c>
      <c r="C684" s="3" t="inlineStr">
        <is>
          <t>Global Success</t>
        </is>
      </c>
      <c r="D684" s="3" t="inlineStr">
        <is>
          <t>Unit 14</t>
        </is>
      </c>
      <c r="E684" s="3" t="inlineStr">
        <is>
          <t>Học kì 2 · Unit 13–16 và Review 4</t>
        </is>
      </c>
      <c r="F684" s="3" t="inlineStr">
        <is>
          <t>Unit 14. In the toy shop</t>
        </is>
      </c>
      <c r="G684" s="3" t="inlineStr">
        <is>
          <t>Chọn đáp án</t>
        </is>
      </c>
      <c r="H684" s="14" t="n">
        <v>1</v>
      </c>
      <c r="I684" s="3" t="inlineStr">
        <is>
          <t>Làm quen</t>
        </is>
      </c>
      <c r="J684" s="3" t="inlineStr">
        <is>
          <t>🐢 Đây là con gì?</t>
        </is>
      </c>
      <c r="K684" s="3" t="inlineStr">
        <is>
          <t>A. turtle | B. tiger | C. duck</t>
        </is>
      </c>
      <c r="L684" s="3" t="inlineStr">
        <is>
          <t>A</t>
        </is>
      </c>
      <c r="M684" s="3" t="inlineStr">
        <is>
          <t>"turtle" là con rùa.</t>
        </is>
      </c>
      <c r="N684" s="3" t="n"/>
      <c r="O684" s="14" t="n">
        <v>30</v>
      </c>
      <c r="P684" s="14">
        <f>INDEX(Khung_cap_do!$H$2:$H$6,H684)</f>
        <v/>
      </c>
      <c r="Q684" s="3" t="inlineStr">
        <is>
          <t>A1.ANIMAL.01</t>
        </is>
      </c>
      <c r="R684" s="3" t="inlineStr">
        <is>
          <t>TA.TUVUNG</t>
        </is>
      </c>
    </row>
    <row r="685">
      <c r="A685" s="3" t="inlineStr">
        <is>
          <t>ta1-gs-u14-q3</t>
        </is>
      </c>
      <c r="B685" s="3" t="inlineStr">
        <is>
          <t>Tiếng Anh</t>
        </is>
      </c>
      <c r="C685" s="3" t="inlineStr">
        <is>
          <t>Global Success</t>
        </is>
      </c>
      <c r="D685" s="3" t="inlineStr">
        <is>
          <t>Unit 14</t>
        </is>
      </c>
      <c r="E685" s="3" t="inlineStr">
        <is>
          <t>Học kì 2 · Unit 13–16 và Review 4</t>
        </is>
      </c>
      <c r="F685" s="3" t="inlineStr">
        <is>
          <t>Unit 14. In the toy shop</t>
        </is>
      </c>
      <c r="G685" s="3" t="inlineStr">
        <is>
          <t>Chọn đáp án</t>
        </is>
      </c>
      <c r="H685" s="14" t="n">
        <v>1</v>
      </c>
      <c r="I685" s="3" t="inlineStr">
        <is>
          <t>Làm quen</t>
        </is>
      </c>
      <c r="J685" s="3" t="inlineStr">
        <is>
          <t>🧸 Đây là gì?</t>
        </is>
      </c>
      <c r="K685" s="3" t="inlineStr">
        <is>
          <t>A. teddy bear | B. top | C. turtle</t>
        </is>
      </c>
      <c r="L685" s="3" t="inlineStr">
        <is>
          <t>A</t>
        </is>
      </c>
      <c r="M685" s="3" t="inlineStr">
        <is>
          <t>"teddy bear" là gấu bông.</t>
        </is>
      </c>
      <c r="N685" s="3" t="n"/>
      <c r="O685" s="14" t="n">
        <v>30</v>
      </c>
      <c r="P685" s="14">
        <f>INDEX(Khung_cap_do!$H$2:$H$6,H685)</f>
        <v/>
      </c>
      <c r="Q685" s="3" t="inlineStr">
        <is>
          <t>A1.EXTRA.01</t>
        </is>
      </c>
      <c r="R685" s="3" t="inlineStr">
        <is>
          <t>TA.TUVUNG</t>
        </is>
      </c>
    </row>
    <row r="686">
      <c r="A686" s="3" t="inlineStr">
        <is>
          <t>ta1-gs-u14-q4</t>
        </is>
      </c>
      <c r="B686" s="3" t="inlineStr">
        <is>
          <t>Tiếng Anh</t>
        </is>
      </c>
      <c r="C686" s="3" t="inlineStr">
        <is>
          <t>Global Success</t>
        </is>
      </c>
      <c r="D686" s="3" t="inlineStr">
        <is>
          <t>Unit 14</t>
        </is>
      </c>
      <c r="E686" s="3" t="inlineStr">
        <is>
          <t>Học kì 2 · Unit 13–16 và Review 4</t>
        </is>
      </c>
      <c r="F686" s="3" t="inlineStr">
        <is>
          <t>Unit 14. In the toy shop</t>
        </is>
      </c>
      <c r="G686" s="3" t="inlineStr">
        <is>
          <t>Ghép cặp</t>
        </is>
      </c>
      <c r="H686" s="14" t="n">
        <v>2</v>
      </c>
      <c r="I686" s="3" t="inlineStr">
        <is>
          <t>Cơ bản</t>
        </is>
      </c>
      <c r="J686" s="3" t="inlineStr">
        <is>
          <t>Ghép từ tiếng Anh với nghĩa</t>
        </is>
      </c>
      <c r="K686" s="3" t="inlineStr">
        <is>
          <t>top ↔ ? / tiger ↔ ? / turtle ↔ ?</t>
        </is>
      </c>
      <c r="L686" s="3" t="inlineStr">
        <is>
          <t>top – con quay; tiger – con hổ; turtle – con rùa</t>
        </is>
      </c>
      <c r="M686" s="3" t="inlineStr">
        <is>
          <t>top – con quay; tiger – con hổ; turtle – con rùa.</t>
        </is>
      </c>
      <c r="N686" s="3" t="n"/>
      <c r="O686" s="14" t="n">
        <v>55</v>
      </c>
      <c r="P686" s="14">
        <f>INDEX(Khung_cap_do!$H$2:$H$6,H686)</f>
        <v/>
      </c>
      <c r="Q686" s="3" t="inlineStr">
        <is>
          <t>A1.EXTRA.01</t>
        </is>
      </c>
      <c r="R686" s="3" t="inlineStr">
        <is>
          <t>TA.NOINGHIA</t>
        </is>
      </c>
    </row>
    <row r="687">
      <c r="A687" s="3" t="inlineStr">
        <is>
          <t>ta1-gs-u14-q5</t>
        </is>
      </c>
      <c r="B687" s="3" t="inlineStr">
        <is>
          <t>Tiếng Anh</t>
        </is>
      </c>
      <c r="C687" s="3" t="inlineStr">
        <is>
          <t>Global Success</t>
        </is>
      </c>
      <c r="D687" s="3" t="inlineStr">
        <is>
          <t>Unit 14</t>
        </is>
      </c>
      <c r="E687" s="3" t="inlineStr">
        <is>
          <t>Học kì 2 · Unit 13–16 và Review 4</t>
        </is>
      </c>
      <c r="F687" s="3" t="inlineStr">
        <is>
          <t>Unit 14. In the toy shop</t>
        </is>
      </c>
      <c r="G687" s="3" t="inlineStr">
        <is>
          <t>Chọn nhiều đáp án</t>
        </is>
      </c>
      <c r="H687" s="14" t="n">
        <v>2</v>
      </c>
      <c r="I687" s="3" t="inlineStr">
        <is>
          <t>Cơ bản</t>
        </is>
      </c>
      <c r="J687" s="3" t="inlineStr">
        <is>
          <t>Chọn TẤT CẢ các từ bắt đầu bằng chữ t</t>
        </is>
      </c>
      <c r="K687" s="3" t="inlineStr">
        <is>
          <t>A. tiger | B. top | C. nut | D. turtle | E. lake</t>
        </is>
      </c>
      <c r="L687" s="3" t="inlineStr">
        <is>
          <t>A, B, D</t>
        </is>
      </c>
      <c r="M687" s="3" t="inlineStr">
        <is>
          <t>tiger, top, turtle bắt đầu bằng t.</t>
        </is>
      </c>
      <c r="N687" s="3" t="n"/>
      <c r="O687" s="14" t="n">
        <v>50</v>
      </c>
      <c r="P687" s="14">
        <f>INDEX(Khung_cap_do!$H$2:$H$6,H687)</f>
        <v/>
      </c>
      <c r="Q687" s="3" t="inlineStr">
        <is>
          <t>A1.ABC.02</t>
        </is>
      </c>
      <c r="R687" s="3" t="inlineStr">
        <is>
          <t>TA.NHOMTU</t>
        </is>
      </c>
    </row>
    <row r="688">
      <c r="A688" s="3" t="inlineStr">
        <is>
          <t>ta1-gs-u14-q6</t>
        </is>
      </c>
      <c r="B688" s="3" t="inlineStr">
        <is>
          <t>Tiếng Anh</t>
        </is>
      </c>
      <c r="C688" s="3" t="inlineStr">
        <is>
          <t>Global Success</t>
        </is>
      </c>
      <c r="D688" s="3" t="inlineStr">
        <is>
          <t>Unit 14</t>
        </is>
      </c>
      <c r="E688" s="3" t="inlineStr">
        <is>
          <t>Học kì 2 · Unit 13–16 và Review 4</t>
        </is>
      </c>
      <c r="F688" s="3" t="inlineStr">
        <is>
          <t>Unit 14. In the toy shop</t>
        </is>
      </c>
      <c r="G688" s="3" t="inlineStr">
        <is>
          <t>Điền đáp án</t>
        </is>
      </c>
      <c r="H688" s="14" t="n">
        <v>2</v>
      </c>
      <c r="I688" s="3" t="inlineStr">
        <is>
          <t>Cơ bản</t>
        </is>
      </c>
      <c r="J688" s="3" t="inlineStr">
        <is>
          <t>Điền chữ cái còn thiếu: _op (con quay)</t>
        </is>
      </c>
      <c r="K688" s="3" t="inlineStr"/>
      <c r="L688" s="3" t="inlineStr">
        <is>
          <t>t / top</t>
        </is>
      </c>
      <c r="M688" s="3" t="inlineStr">
        <is>
          <t>t + op = top.</t>
        </is>
      </c>
      <c r="N688" s="3" t="n"/>
      <c r="O688" s="14" t="n">
        <v>50</v>
      </c>
      <c r="P688" s="14">
        <f>INDEX(Khung_cap_do!$H$2:$H$6,H688)</f>
        <v/>
      </c>
      <c r="Q688" s="3" t="inlineStr">
        <is>
          <t>A1.ABC.02</t>
        </is>
      </c>
      <c r="R688" s="3" t="inlineStr">
        <is>
          <t>TA.CHUCAI</t>
        </is>
      </c>
    </row>
    <row r="689">
      <c r="A689" s="3" t="inlineStr">
        <is>
          <t>ta1-gs-u14-q7</t>
        </is>
      </c>
      <c r="B689" s="3" t="inlineStr">
        <is>
          <t>Tiếng Anh</t>
        </is>
      </c>
      <c r="C689" s="3" t="inlineStr">
        <is>
          <t>Global Success</t>
        </is>
      </c>
      <c r="D689" s="3" t="inlineStr">
        <is>
          <t>Unit 14</t>
        </is>
      </c>
      <c r="E689" s="3" t="inlineStr">
        <is>
          <t>Học kì 2 · Unit 13–16 và Review 4</t>
        </is>
      </c>
      <c r="F689" s="3" t="inlineStr">
        <is>
          <t>Unit 14. In the toy shop</t>
        </is>
      </c>
      <c r="G689" s="3" t="inlineStr">
        <is>
          <t>Chọn đáp án</t>
        </is>
      </c>
      <c r="H689" s="14" t="n">
        <v>3</v>
      </c>
      <c r="I689" s="3" t="inlineStr">
        <is>
          <t>Vận dụng</t>
        </is>
      </c>
      <c r="J689" s="3" t="inlineStr">
        <is>
          <t>🐢 Ở cửa hàng đồ chơi, em nói:</t>
        </is>
      </c>
      <c r="K689" s="3" t="inlineStr">
        <is>
          <t>A. I can see a turtle. | B. I can see a tiger. | C. I can see a top.</t>
        </is>
      </c>
      <c r="L689" s="3" t="inlineStr">
        <is>
          <t>A</t>
        </is>
      </c>
      <c r="M689" s="3" t="inlineStr">
        <is>
          <t>"I can see a turtle." = Em nhìn thấy một con rùa.</t>
        </is>
      </c>
      <c r="N689" s="3" t="inlineStr">
        <is>
          <t>"I can see a …" nghĩa là "Em nhìn thấy một …". Tranh là con rùa (turtle).</t>
        </is>
      </c>
      <c r="O689" s="14" t="n">
        <v>50</v>
      </c>
      <c r="P689" s="14">
        <f>INDEX(Khung_cap_do!$H$2:$H$6,H689)</f>
        <v/>
      </c>
      <c r="Q689" s="3" t="inlineStr">
        <is>
          <t>A1.ANIMAL.01</t>
        </is>
      </c>
      <c r="R689" s="3" t="inlineStr">
        <is>
          <t>TA.MAUCAU</t>
        </is>
      </c>
    </row>
    <row r="690">
      <c r="A690" s="3" t="inlineStr">
        <is>
          <t>ta1-gs-u14-q8</t>
        </is>
      </c>
      <c r="B690" s="3" t="inlineStr">
        <is>
          <t>Tiếng Anh</t>
        </is>
      </c>
      <c r="C690" s="3" t="inlineStr">
        <is>
          <t>Global Success</t>
        </is>
      </c>
      <c r="D690" s="3" t="inlineStr">
        <is>
          <t>Unit 14</t>
        </is>
      </c>
      <c r="E690" s="3" t="inlineStr">
        <is>
          <t>Học kì 2 · Unit 13–16 và Review 4</t>
        </is>
      </c>
      <c r="F690" s="3" t="inlineStr">
        <is>
          <t>Unit 14. In the toy shop</t>
        </is>
      </c>
      <c r="G690" s="3" t="inlineStr">
        <is>
          <t>Đúng / Sai</t>
        </is>
      </c>
      <c r="H690" s="14" t="n">
        <v>3</v>
      </c>
      <c r="I690" s="3" t="inlineStr">
        <is>
          <t>Vận dụng</t>
        </is>
      </c>
      <c r="J690" s="3" t="inlineStr">
        <is>
          <t>Từ "nut" bắt đầu bằng chữ t. Đúng hay sai?</t>
        </is>
      </c>
      <c r="K690" s="3" t="inlineStr">
        <is>
          <t>A. Đúng | B. Sai</t>
        </is>
      </c>
      <c r="L690" s="3" t="inlineStr">
        <is>
          <t>B</t>
        </is>
      </c>
      <c r="M690" s="3" t="inlineStr">
        <is>
          <t>"nut" bắt đầu bằng n; chữ t đứng cuối.</t>
        </is>
      </c>
      <c r="N690" s="3" t="inlineStr">
        <is>
          <t>Đọc từng chữ: n – u – t. Chữ ĐẦU là n, nên câu nói sai.</t>
        </is>
      </c>
      <c r="O690" s="14" t="n">
        <v>50</v>
      </c>
      <c r="P690" s="14">
        <f>INDEX(Khung_cap_do!$H$2:$H$6,H690)</f>
        <v/>
      </c>
      <c r="Q690" s="3" t="inlineStr">
        <is>
          <t>A1.ABC.02</t>
        </is>
      </c>
      <c r="R690" s="3" t="inlineStr">
        <is>
          <t>TA.CHUCAI</t>
        </is>
      </c>
    </row>
    <row r="691">
      <c r="A691" s="3" t="inlineStr">
        <is>
          <t>ta1-gs-u15-q1</t>
        </is>
      </c>
      <c r="B691" s="3" t="inlineStr">
        <is>
          <t>Tiếng Anh</t>
        </is>
      </c>
      <c r="C691" s="3" t="inlineStr">
        <is>
          <t>Global Success</t>
        </is>
      </c>
      <c r="D691" s="3" t="inlineStr">
        <is>
          <t>Unit 15</t>
        </is>
      </c>
      <c r="E691" s="3" t="inlineStr">
        <is>
          <t>Học kì 2 · Unit 13–16 và Review 4</t>
        </is>
      </c>
      <c r="F691" s="3" t="inlineStr">
        <is>
          <t>Unit 15. At the football match</t>
        </is>
      </c>
      <c r="G691" s="3" t="inlineStr">
        <is>
          <t>Chọn đáp án</t>
        </is>
      </c>
      <c r="H691" s="14" t="n">
        <v>1</v>
      </c>
      <c r="I691" s="3" t="inlineStr">
        <is>
          <t>Làm quen</t>
        </is>
      </c>
      <c r="J691" s="3" t="inlineStr">
        <is>
          <t>🦶 Đây là gì?</t>
        </is>
      </c>
      <c r="K691" s="3" t="inlineStr">
        <is>
          <t>A. foot | B. face | C. hand</t>
        </is>
      </c>
      <c r="L691" s="3" t="inlineStr">
        <is>
          <t>A</t>
        </is>
      </c>
      <c r="M691" s="3" t="inlineStr">
        <is>
          <t>"foot" là bàn chân.</t>
        </is>
      </c>
      <c r="N691" s="3" t="n"/>
      <c r="O691" s="14" t="n">
        <v>30</v>
      </c>
      <c r="P691" s="14">
        <f>INDEX(Khung_cap_do!$H$2:$H$6,H691)</f>
        <v/>
      </c>
      <c r="Q691" s="3" t="inlineStr">
        <is>
          <t>A1.EXTRA.03</t>
        </is>
      </c>
      <c r="R691" s="3" t="inlineStr">
        <is>
          <t>TA.TUVUNG</t>
        </is>
      </c>
    </row>
    <row r="692">
      <c r="A692" s="3" t="inlineStr">
        <is>
          <t>ta1-gs-u15-q2</t>
        </is>
      </c>
      <c r="B692" s="3" t="inlineStr">
        <is>
          <t>Tiếng Anh</t>
        </is>
      </c>
      <c r="C692" s="3" t="inlineStr">
        <is>
          <t>Global Success</t>
        </is>
      </c>
      <c r="D692" s="3" t="inlineStr">
        <is>
          <t>Unit 15</t>
        </is>
      </c>
      <c r="E692" s="3" t="inlineStr">
        <is>
          <t>Học kì 2 · Unit 13–16 và Review 4</t>
        </is>
      </c>
      <c r="F692" s="3" t="inlineStr">
        <is>
          <t>Unit 15. At the football match</t>
        </is>
      </c>
      <c r="G692" s="3" t="inlineStr">
        <is>
          <t>Chọn đáp án</t>
        </is>
      </c>
      <c r="H692" s="14" t="n">
        <v>1</v>
      </c>
      <c r="I692" s="3" t="inlineStr">
        <is>
          <t>Làm quen</t>
        </is>
      </c>
      <c r="J692" s="3" t="inlineStr">
        <is>
          <t>🙂 Đây là gì?</t>
        </is>
      </c>
      <c r="K692" s="3" t="inlineStr">
        <is>
          <t>A. face | B. foot | C. head</t>
        </is>
      </c>
      <c r="L692" s="3" t="inlineStr">
        <is>
          <t>A</t>
        </is>
      </c>
      <c r="M692" s="3" t="inlineStr">
        <is>
          <t>"face" là khuôn mặt.</t>
        </is>
      </c>
      <c r="N692" s="3" t="n"/>
      <c r="O692" s="14" t="n">
        <v>30</v>
      </c>
      <c r="P692" s="14">
        <f>INDEX(Khung_cap_do!$H$2:$H$6,H692)</f>
        <v/>
      </c>
      <c r="Q692" s="3" t="inlineStr">
        <is>
          <t>A1.EXTRA.03</t>
        </is>
      </c>
      <c r="R692" s="3" t="inlineStr">
        <is>
          <t>TA.TUVUNG</t>
        </is>
      </c>
    </row>
    <row r="693">
      <c r="A693" s="3" t="inlineStr">
        <is>
          <t>ta1-gs-u15-q3</t>
        </is>
      </c>
      <c r="B693" s="3" t="inlineStr">
        <is>
          <t>Tiếng Anh</t>
        </is>
      </c>
      <c r="C693" s="3" t="inlineStr">
        <is>
          <t>Global Success</t>
        </is>
      </c>
      <c r="D693" s="3" t="inlineStr">
        <is>
          <t>Unit 15</t>
        </is>
      </c>
      <c r="E693" s="3" t="inlineStr">
        <is>
          <t>Học kì 2 · Unit 13–16 và Review 4</t>
        </is>
      </c>
      <c r="F693" s="3" t="inlineStr">
        <is>
          <t>Unit 15. At the football match</t>
        </is>
      </c>
      <c r="G693" s="3" t="inlineStr">
        <is>
          <t>Chọn đáp án</t>
        </is>
      </c>
      <c r="H693" s="14" t="n">
        <v>1</v>
      </c>
      <c r="I693" s="3" t="inlineStr">
        <is>
          <t>Làm quen</t>
        </is>
      </c>
      <c r="J693" s="3" t="inlineStr">
        <is>
          <t>👨 Đây là ai?</t>
        </is>
      </c>
      <c r="K693" s="3" t="inlineStr">
        <is>
          <t>A. father | B. mother | C. girl</t>
        </is>
      </c>
      <c r="L693" s="3" t="inlineStr">
        <is>
          <t>A</t>
        </is>
      </c>
      <c r="M693" s="3" t="inlineStr">
        <is>
          <t>"father" là bố.</t>
        </is>
      </c>
      <c r="N693" s="3" t="n"/>
      <c r="O693" s="14" t="n">
        <v>30</v>
      </c>
      <c r="P693" s="14">
        <f>INDEX(Khung_cap_do!$H$2:$H$6,H693)</f>
        <v/>
      </c>
      <c r="Q693" s="3" t="inlineStr">
        <is>
          <t>A1.FAMILY.01</t>
        </is>
      </c>
      <c r="R693" s="3" t="inlineStr">
        <is>
          <t>TA.TUVUNG</t>
        </is>
      </c>
    </row>
    <row r="694">
      <c r="A694" s="3" t="inlineStr">
        <is>
          <t>ta1-gs-u15-q4</t>
        </is>
      </c>
      <c r="B694" s="3" t="inlineStr">
        <is>
          <t>Tiếng Anh</t>
        </is>
      </c>
      <c r="C694" s="3" t="inlineStr">
        <is>
          <t>Global Success</t>
        </is>
      </c>
      <c r="D694" s="3" t="inlineStr">
        <is>
          <t>Unit 15</t>
        </is>
      </c>
      <c r="E694" s="3" t="inlineStr">
        <is>
          <t>Học kì 2 · Unit 13–16 và Review 4</t>
        </is>
      </c>
      <c r="F694" s="3" t="inlineStr">
        <is>
          <t>Unit 15. At the football match</t>
        </is>
      </c>
      <c r="G694" s="3" t="inlineStr">
        <is>
          <t>Ghép cặp</t>
        </is>
      </c>
      <c r="H694" s="14" t="n">
        <v>2</v>
      </c>
      <c r="I694" s="3" t="inlineStr">
        <is>
          <t>Cơ bản</t>
        </is>
      </c>
      <c r="J694" s="3" t="inlineStr">
        <is>
          <t>Ghép từ tiếng Anh với nghĩa</t>
        </is>
      </c>
      <c r="K694" s="3" t="inlineStr">
        <is>
          <t>football ↔ ? / father ↔ ? / face ↔ ?</t>
        </is>
      </c>
      <c r="L694" s="3" t="inlineStr">
        <is>
          <t>football – quả bóng đá; father – bố; face – khuôn mặt</t>
        </is>
      </c>
      <c r="M694" s="3" t="inlineStr">
        <is>
          <t>football – quả bóng đá; father – bố; face – khuôn mặt.</t>
        </is>
      </c>
      <c r="N694" s="3" t="n"/>
      <c r="O694" s="14" t="n">
        <v>55</v>
      </c>
      <c r="P694" s="14">
        <f>INDEX(Khung_cap_do!$H$2:$H$6,H694)</f>
        <v/>
      </c>
      <c r="Q694" s="3" t="inlineStr">
        <is>
          <t>A1.FAMILY.01</t>
        </is>
      </c>
      <c r="R694" s="3" t="inlineStr">
        <is>
          <t>TA.NOINGHIA</t>
        </is>
      </c>
    </row>
    <row r="695">
      <c r="A695" s="3" t="inlineStr">
        <is>
          <t>ta1-gs-u15-q5</t>
        </is>
      </c>
      <c r="B695" s="3" t="inlineStr">
        <is>
          <t>Tiếng Anh</t>
        </is>
      </c>
      <c r="C695" s="3" t="inlineStr">
        <is>
          <t>Global Success</t>
        </is>
      </c>
      <c r="D695" s="3" t="inlineStr">
        <is>
          <t>Unit 15</t>
        </is>
      </c>
      <c r="E695" s="3" t="inlineStr">
        <is>
          <t>Học kì 2 · Unit 13–16 và Review 4</t>
        </is>
      </c>
      <c r="F695" s="3" t="inlineStr">
        <is>
          <t>Unit 15. At the football match</t>
        </is>
      </c>
      <c r="G695" s="3" t="inlineStr">
        <is>
          <t>Chọn nhiều đáp án</t>
        </is>
      </c>
      <c r="H695" s="14" t="n">
        <v>2</v>
      </c>
      <c r="I695" s="3" t="inlineStr">
        <is>
          <t>Cơ bản</t>
        </is>
      </c>
      <c r="J695" s="3" t="inlineStr">
        <is>
          <t>Chọn TẤT CẢ các bộ phận cơ thể</t>
        </is>
      </c>
      <c r="K695" s="3" t="inlineStr">
        <is>
          <t>A. face | B. foot | C. father | D. hand | E. football</t>
        </is>
      </c>
      <c r="L695" s="3" t="inlineStr">
        <is>
          <t>A, B, D</t>
        </is>
      </c>
      <c r="M695" s="3" t="inlineStr">
        <is>
          <t>face, foot, hand là bộ phận cơ thể.</t>
        </is>
      </c>
      <c r="N695" s="3" t="n"/>
      <c r="O695" s="14" t="n">
        <v>50</v>
      </c>
      <c r="P695" s="14">
        <f>INDEX(Khung_cap_do!$H$2:$H$6,H695)</f>
        <v/>
      </c>
      <c r="Q695" s="3" t="inlineStr">
        <is>
          <t>A1.EXTRA.03</t>
        </is>
      </c>
      <c r="R695" s="3" t="inlineStr">
        <is>
          <t>TA.NHOMTU</t>
        </is>
      </c>
    </row>
    <row r="696">
      <c r="A696" s="3" t="inlineStr">
        <is>
          <t>ta1-gs-u15-q6</t>
        </is>
      </c>
      <c r="B696" s="3" t="inlineStr">
        <is>
          <t>Tiếng Anh</t>
        </is>
      </c>
      <c r="C696" s="3" t="inlineStr">
        <is>
          <t>Global Success</t>
        </is>
      </c>
      <c r="D696" s="3" t="inlineStr">
        <is>
          <t>Unit 15</t>
        </is>
      </c>
      <c r="E696" s="3" t="inlineStr">
        <is>
          <t>Học kì 2 · Unit 13–16 và Review 4</t>
        </is>
      </c>
      <c r="F696" s="3" t="inlineStr">
        <is>
          <t>Unit 15. At the football match</t>
        </is>
      </c>
      <c r="G696" s="3" t="inlineStr">
        <is>
          <t>Điền đáp án</t>
        </is>
      </c>
      <c r="H696" s="14" t="n">
        <v>2</v>
      </c>
      <c r="I696" s="3" t="inlineStr">
        <is>
          <t>Cơ bản</t>
        </is>
      </c>
      <c r="J696" s="3" t="inlineStr">
        <is>
          <t>Điền chữ cái còn thiếu: _ace (🙂 khuôn mặt)</t>
        </is>
      </c>
      <c r="K696" s="3" t="inlineStr"/>
      <c r="L696" s="3" t="inlineStr">
        <is>
          <t>f / face</t>
        </is>
      </c>
      <c r="M696" s="3" t="inlineStr">
        <is>
          <t>f + ace = face.</t>
        </is>
      </c>
      <c r="N696" s="3" t="n"/>
      <c r="O696" s="14" t="n">
        <v>50</v>
      </c>
      <c r="P696" s="14">
        <f>INDEX(Khung_cap_do!$H$2:$H$6,H696)</f>
        <v/>
      </c>
      <c r="Q696" s="3" t="inlineStr">
        <is>
          <t>A1.ABC.02</t>
        </is>
      </c>
      <c r="R696" s="3" t="inlineStr">
        <is>
          <t>TA.CHUCAI</t>
        </is>
      </c>
    </row>
    <row r="697">
      <c r="A697" s="3" t="inlineStr">
        <is>
          <t>ta1-gs-u15-q7</t>
        </is>
      </c>
      <c r="B697" s="3" t="inlineStr">
        <is>
          <t>Tiếng Anh</t>
        </is>
      </c>
      <c r="C697" s="3" t="inlineStr">
        <is>
          <t>Global Success</t>
        </is>
      </c>
      <c r="D697" s="3" t="inlineStr">
        <is>
          <t>Unit 15</t>
        </is>
      </c>
      <c r="E697" s="3" t="inlineStr">
        <is>
          <t>Học kì 2 · Unit 13–16 và Review 4</t>
        </is>
      </c>
      <c r="F697" s="3" t="inlineStr">
        <is>
          <t>Unit 15. At the football match</t>
        </is>
      </c>
      <c r="G697" s="3" t="inlineStr">
        <is>
          <t>Chọn đáp án</t>
        </is>
      </c>
      <c r="H697" s="14" t="n">
        <v>3</v>
      </c>
      <c r="I697" s="3" t="inlineStr">
        <is>
          <t>Vận dụng</t>
        </is>
      </c>
      <c r="J697" s="3" t="inlineStr">
        <is>
          <t>Cô nói: "Point to your foot." Em chỉ vào đâu?</t>
        </is>
      </c>
      <c r="K697" s="3" t="inlineStr">
        <is>
          <t>A. 🦶 bàn chân | B. 🙂 khuôn mặt | C. ✋ bàn tay</t>
        </is>
      </c>
      <c r="L697" s="3" t="inlineStr">
        <is>
          <t>A</t>
        </is>
      </c>
      <c r="M697" s="3" t="inlineStr">
        <is>
          <t>"Point to your foot." = Hãy chỉ vào bàn chân của em.</t>
        </is>
      </c>
      <c r="N697" s="3" t="inlineStr">
        <is>
          <t>"Point to your …" nghĩa là "Hãy chỉ vào … của em". "foot" là bàn chân.</t>
        </is>
      </c>
      <c r="O697" s="14" t="n">
        <v>50</v>
      </c>
      <c r="P697" s="14">
        <f>INDEX(Khung_cap_do!$H$2:$H$6,H697)</f>
        <v/>
      </c>
      <c r="Q697" s="3" t="inlineStr">
        <is>
          <t>A1.EXTRA.03</t>
        </is>
      </c>
      <c r="R697" s="3" t="inlineStr">
        <is>
          <t>TA.MAUCAU</t>
        </is>
      </c>
    </row>
    <row r="698">
      <c r="A698" s="3" t="inlineStr">
        <is>
          <t>ta1-gs-u15-q8</t>
        </is>
      </c>
      <c r="B698" s="3" t="inlineStr">
        <is>
          <t>Tiếng Anh</t>
        </is>
      </c>
      <c r="C698" s="3" t="inlineStr">
        <is>
          <t>Global Success</t>
        </is>
      </c>
      <c r="D698" s="3" t="inlineStr">
        <is>
          <t>Unit 15</t>
        </is>
      </c>
      <c r="E698" s="3" t="inlineStr">
        <is>
          <t>Học kì 2 · Unit 13–16 và Review 4</t>
        </is>
      </c>
      <c r="F698" s="3" t="inlineStr">
        <is>
          <t>Unit 15. At the football match</t>
        </is>
      </c>
      <c r="G698" s="3" t="inlineStr">
        <is>
          <t>Sắp xếp</t>
        </is>
      </c>
      <c r="H698" s="14" t="n">
        <v>3</v>
      </c>
      <c r="I698" s="3" t="inlineStr">
        <is>
          <t>Vận dụng</t>
        </is>
      </c>
      <c r="J698" s="3" t="inlineStr">
        <is>
          <t>Sắp xếp các từ thành câu đúng</t>
        </is>
      </c>
      <c r="K698" s="3" t="inlineStr">
        <is>
          <t>Point / face. / to / your</t>
        </is>
      </c>
      <c r="L698" s="3" t="inlineStr">
        <is>
          <t>Point → to → your → face.</t>
        </is>
      </c>
      <c r="M698" s="3" t="inlineStr">
        <is>
          <t>Point to your face. = Hãy chỉ vào khuôn mặt của em.</t>
        </is>
      </c>
      <c r="N698" s="3" t="inlineStr">
        <is>
          <t>Câu bắt đầu bằng "Point" (viết hoa), rồi "to your", cuối câu là "face."</t>
        </is>
      </c>
      <c r="O698" s="14" t="n">
        <v>65</v>
      </c>
      <c r="P698" s="14">
        <f>INDEX(Khung_cap_do!$H$2:$H$6,H698)</f>
        <v/>
      </c>
      <c r="Q698" s="3" t="inlineStr">
        <is>
          <t>A1.EXTRA.03</t>
        </is>
      </c>
      <c r="R698" s="3" t="inlineStr">
        <is>
          <t>TA.MAUCAU</t>
        </is>
      </c>
    </row>
    <row r="699">
      <c r="A699" s="3" t="inlineStr">
        <is>
          <t>ta1-gs-u16-q1</t>
        </is>
      </c>
      <c r="B699" s="3" t="inlineStr">
        <is>
          <t>Tiếng Anh</t>
        </is>
      </c>
      <c r="C699" s="3" t="inlineStr">
        <is>
          <t>Global Success</t>
        </is>
      </c>
      <c r="D699" s="3" t="inlineStr">
        <is>
          <t>Unit 16</t>
        </is>
      </c>
      <c r="E699" s="3" t="inlineStr">
        <is>
          <t>Học kì 2 · Unit 13–16 và Review 4</t>
        </is>
      </c>
      <c r="F699" s="3" t="inlineStr">
        <is>
          <t>Unit 16. At home</t>
        </is>
      </c>
      <c r="G699" s="3" t="inlineStr">
        <is>
          <t>Chọn đáp án</t>
        </is>
      </c>
      <c r="H699" s="14" t="n">
        <v>1</v>
      </c>
      <c r="I699" s="3" t="inlineStr">
        <is>
          <t>Làm quen</t>
        </is>
      </c>
      <c r="J699" s="3" t="inlineStr">
        <is>
          <t>🪟 Đây là gì?</t>
        </is>
      </c>
      <c r="K699" s="3" t="inlineStr">
        <is>
          <t>A. window | B. water | C. door</t>
        </is>
      </c>
      <c r="L699" s="3" t="inlineStr">
        <is>
          <t>A</t>
        </is>
      </c>
      <c r="M699" s="3" t="inlineStr">
        <is>
          <t>"window" là cửa sổ.</t>
        </is>
      </c>
      <c r="N699" s="3" t="n"/>
      <c r="O699" s="14" t="n">
        <v>30</v>
      </c>
      <c r="P699" s="14">
        <f>INDEX(Khung_cap_do!$H$2:$H$6,H699)</f>
        <v/>
      </c>
      <c r="Q699" s="3" t="inlineStr">
        <is>
          <t>A1.EXTRA.01</t>
        </is>
      </c>
      <c r="R699" s="3" t="inlineStr">
        <is>
          <t>TA.TUVUNG</t>
        </is>
      </c>
    </row>
    <row r="700">
      <c r="A700" s="3" t="inlineStr">
        <is>
          <t>ta1-gs-u16-q2</t>
        </is>
      </c>
      <c r="B700" s="3" t="inlineStr">
        <is>
          <t>Tiếng Anh</t>
        </is>
      </c>
      <c r="C700" s="3" t="inlineStr">
        <is>
          <t>Global Success</t>
        </is>
      </c>
      <c r="D700" s="3" t="inlineStr">
        <is>
          <t>Unit 16</t>
        </is>
      </c>
      <c r="E700" s="3" t="inlineStr">
        <is>
          <t>Học kì 2 · Unit 13–16 và Review 4</t>
        </is>
      </c>
      <c r="F700" s="3" t="inlineStr">
        <is>
          <t>Unit 16. At home</t>
        </is>
      </c>
      <c r="G700" s="3" t="inlineStr">
        <is>
          <t>Chọn đáp án</t>
        </is>
      </c>
      <c r="H700" s="14" t="n">
        <v>1</v>
      </c>
      <c r="I700" s="3" t="inlineStr">
        <is>
          <t>Làm quen</t>
        </is>
      </c>
      <c r="J700" s="3" t="inlineStr">
        <is>
          <t>💧 Đây là gì?</t>
        </is>
      </c>
      <c r="K700" s="3" t="inlineStr">
        <is>
          <t>A. water | B. wash | C. window</t>
        </is>
      </c>
      <c r="L700" s="3" t="inlineStr">
        <is>
          <t>A</t>
        </is>
      </c>
      <c r="M700" s="3" t="inlineStr">
        <is>
          <t>"water" là nước.</t>
        </is>
      </c>
      <c r="N700" s="3" t="n"/>
      <c r="O700" s="14" t="n">
        <v>30</v>
      </c>
      <c r="P700" s="14">
        <f>INDEX(Khung_cap_do!$H$2:$H$6,H700)</f>
        <v/>
      </c>
      <c r="Q700" s="3" t="inlineStr">
        <is>
          <t>A1.EXTRA.02</t>
        </is>
      </c>
      <c r="R700" s="3" t="inlineStr">
        <is>
          <t>TA.TUVUNG</t>
        </is>
      </c>
    </row>
    <row r="701">
      <c r="A701" s="3" t="inlineStr">
        <is>
          <t>ta1-gs-u16-q3</t>
        </is>
      </c>
      <c r="B701" s="3" t="inlineStr">
        <is>
          <t>Tiếng Anh</t>
        </is>
      </c>
      <c r="C701" s="3" t="inlineStr">
        <is>
          <t>Global Success</t>
        </is>
      </c>
      <c r="D701" s="3" t="inlineStr">
        <is>
          <t>Unit 16</t>
        </is>
      </c>
      <c r="E701" s="3" t="inlineStr">
        <is>
          <t>Học kì 2 · Unit 13–16 và Review 4</t>
        </is>
      </c>
      <c r="F701" s="3" t="inlineStr">
        <is>
          <t>Unit 16. At home</t>
        </is>
      </c>
      <c r="G701" s="3" t="inlineStr">
        <is>
          <t>Chọn đáp án</t>
        </is>
      </c>
      <c r="H701" s="14" t="n">
        <v>2</v>
      </c>
      <c r="I701" s="3" t="inlineStr">
        <is>
          <t>Cơ bản</t>
        </is>
      </c>
      <c r="J701" s="3" t="inlineStr">
        <is>
          <t>"wash" nghĩa là gì?</t>
        </is>
      </c>
      <c r="K701" s="3" t="inlineStr">
        <is>
          <t>A. rửa, giặt | B. cửa sổ | C. nước</t>
        </is>
      </c>
      <c r="L701" s="3" t="inlineStr">
        <is>
          <t>A</t>
        </is>
      </c>
      <c r="M701" s="3" t="inlineStr">
        <is>
          <t>"wash" là rửa, giặt.</t>
        </is>
      </c>
      <c r="N701" s="3" t="n"/>
      <c r="O701" s="14" t="n">
        <v>40</v>
      </c>
      <c r="P701" s="14">
        <f>INDEX(Khung_cap_do!$H$2:$H$6,H701)</f>
        <v/>
      </c>
      <c r="Q701" s="3" t="inlineStr">
        <is>
          <t>A1.EXTRA.02</t>
        </is>
      </c>
      <c r="R701" s="3" t="inlineStr">
        <is>
          <t>TA.TUVUNG</t>
        </is>
      </c>
    </row>
    <row r="702">
      <c r="A702" s="3" t="inlineStr">
        <is>
          <t>ta1-gs-u16-q4</t>
        </is>
      </c>
      <c r="B702" s="3" t="inlineStr">
        <is>
          <t>Tiếng Anh</t>
        </is>
      </c>
      <c r="C702" s="3" t="inlineStr">
        <is>
          <t>Global Success</t>
        </is>
      </c>
      <c r="D702" s="3" t="inlineStr">
        <is>
          <t>Unit 16</t>
        </is>
      </c>
      <c r="E702" s="3" t="inlineStr">
        <is>
          <t>Học kì 2 · Unit 13–16 và Review 4</t>
        </is>
      </c>
      <c r="F702" s="3" t="inlineStr">
        <is>
          <t>Unit 16. At home</t>
        </is>
      </c>
      <c r="G702" s="3" t="inlineStr">
        <is>
          <t>Chọn nhiều đáp án</t>
        </is>
      </c>
      <c r="H702" s="14" t="n">
        <v>2</v>
      </c>
      <c r="I702" s="3" t="inlineStr">
        <is>
          <t>Cơ bản</t>
        </is>
      </c>
      <c r="J702" s="3" t="inlineStr">
        <is>
          <t>Chọn TẤT CẢ các từ bắt đầu bằng chữ w</t>
        </is>
      </c>
      <c r="K702" s="3" t="inlineStr">
        <is>
          <t>A. wash | B. water | C. face | D. window | E. tiger</t>
        </is>
      </c>
      <c r="L702" s="3" t="inlineStr">
        <is>
          <t>A, B, D</t>
        </is>
      </c>
      <c r="M702" s="3" t="inlineStr">
        <is>
          <t>wash, water, window bắt đầu bằng w.</t>
        </is>
      </c>
      <c r="N702" s="3" t="n"/>
      <c r="O702" s="14" t="n">
        <v>50</v>
      </c>
      <c r="P702" s="14">
        <f>INDEX(Khung_cap_do!$H$2:$H$6,H702)</f>
        <v/>
      </c>
      <c r="Q702" s="3" t="inlineStr">
        <is>
          <t>A1.ABC.02</t>
        </is>
      </c>
      <c r="R702" s="3" t="inlineStr">
        <is>
          <t>TA.NHOMTU</t>
        </is>
      </c>
    </row>
    <row r="703">
      <c r="A703" s="3" t="inlineStr">
        <is>
          <t>ta1-gs-u16-q5</t>
        </is>
      </c>
      <c r="B703" s="3" t="inlineStr">
        <is>
          <t>Tiếng Anh</t>
        </is>
      </c>
      <c r="C703" s="3" t="inlineStr">
        <is>
          <t>Global Success</t>
        </is>
      </c>
      <c r="D703" s="3" t="inlineStr">
        <is>
          <t>Unit 16</t>
        </is>
      </c>
      <c r="E703" s="3" t="inlineStr">
        <is>
          <t>Học kì 2 · Unit 13–16 và Review 4</t>
        </is>
      </c>
      <c r="F703" s="3" t="inlineStr">
        <is>
          <t>Unit 16. At home</t>
        </is>
      </c>
      <c r="G703" s="3" t="inlineStr">
        <is>
          <t>Chọn đáp án</t>
        </is>
      </c>
      <c r="H703" s="14" t="n">
        <v>1</v>
      </c>
      <c r="I703" s="3" t="inlineStr">
        <is>
          <t>Làm quen</t>
        </is>
      </c>
      <c r="J703" s="3" t="inlineStr">
        <is>
          <t>Số 8 tiếng Anh là gì?</t>
        </is>
      </c>
      <c r="K703" s="3" t="inlineStr">
        <is>
          <t>A. eight | B. six | C. ten</t>
        </is>
      </c>
      <c r="L703" s="3" t="inlineStr">
        <is>
          <t>A</t>
        </is>
      </c>
      <c r="M703" s="3" t="inlineStr">
        <is>
          <t>8 = eight.</t>
        </is>
      </c>
      <c r="N703" s="3" t="n"/>
      <c r="O703" s="14" t="n">
        <v>30</v>
      </c>
      <c r="P703" s="14">
        <f>INDEX(Khung_cap_do!$H$2:$H$6,H703)</f>
        <v/>
      </c>
      <c r="Q703" s="3" t="inlineStr">
        <is>
          <t>A1.NUM.01</t>
        </is>
      </c>
      <c r="R703" s="3" t="inlineStr">
        <is>
          <t>TA.TUVUNG</t>
        </is>
      </c>
    </row>
    <row r="704">
      <c r="A704" s="3" t="inlineStr">
        <is>
          <t>ta1-gs-u16-q6</t>
        </is>
      </c>
      <c r="B704" s="3" t="inlineStr">
        <is>
          <t>Tiếng Anh</t>
        </is>
      </c>
      <c r="C704" s="3" t="inlineStr">
        <is>
          <t>Global Success</t>
        </is>
      </c>
      <c r="D704" s="3" t="inlineStr">
        <is>
          <t>Unit 16</t>
        </is>
      </c>
      <c r="E704" s="3" t="inlineStr">
        <is>
          <t>Học kì 2 · Unit 13–16 và Review 4</t>
        </is>
      </c>
      <c r="F704" s="3" t="inlineStr">
        <is>
          <t>Unit 16. At home</t>
        </is>
      </c>
      <c r="G704" s="3" t="inlineStr">
        <is>
          <t>Chọn đáp án</t>
        </is>
      </c>
      <c r="H704" s="14" t="n">
        <v>3</v>
      </c>
      <c r="I704" s="3" t="inlineStr">
        <is>
          <t>Vận dụng</t>
        </is>
      </c>
      <c r="J704" s="3" t="inlineStr">
        <is>
          <t>🪟🪟🪟🪟🪟🪟 How many windows can you see?</t>
        </is>
      </c>
      <c r="K704" s="3" t="inlineStr">
        <is>
          <t>A. I can see six. | B. I can see five. | C. I can see seven.</t>
        </is>
      </c>
      <c r="L704" s="3" t="inlineStr">
        <is>
          <t>A</t>
        </is>
      </c>
      <c r="M704" s="3" t="inlineStr">
        <is>
          <t>Có 6 cửa sổ: I can see six.</t>
        </is>
      </c>
      <c r="N704" s="3" t="inlineStr">
        <is>
          <t>Đếm cửa sổ: 1, 2, 3, 4, 5, 6. Số 6 là "six". Trả lời: I can see six.</t>
        </is>
      </c>
      <c r="O704" s="14" t="n">
        <v>50</v>
      </c>
      <c r="P704" s="14">
        <f>INDEX(Khung_cap_do!$H$2:$H$6,H704)</f>
        <v/>
      </c>
      <c r="Q704" s="3" t="inlineStr">
        <is>
          <t>A1.NUM.02</t>
        </is>
      </c>
      <c r="R704" s="3" t="inlineStr">
        <is>
          <t>TA.MAUCAU</t>
        </is>
      </c>
    </row>
    <row r="705">
      <c r="A705" s="3" t="inlineStr">
        <is>
          <t>ta1-gs-u16-q7</t>
        </is>
      </c>
      <c r="B705" s="3" t="inlineStr">
        <is>
          <t>Tiếng Anh</t>
        </is>
      </c>
      <c r="C705" s="3" t="inlineStr">
        <is>
          <t>Global Success</t>
        </is>
      </c>
      <c r="D705" s="3" t="inlineStr">
        <is>
          <t>Unit 16</t>
        </is>
      </c>
      <c r="E705" s="3" t="inlineStr">
        <is>
          <t>Học kì 2 · Unit 13–16 và Review 4</t>
        </is>
      </c>
      <c r="F705" s="3" t="inlineStr">
        <is>
          <t>Unit 16. At home</t>
        </is>
      </c>
      <c r="G705" s="3" t="inlineStr">
        <is>
          <t>Sắp xếp</t>
        </is>
      </c>
      <c r="H705" s="14" t="n">
        <v>3</v>
      </c>
      <c r="I705" s="3" t="inlineStr">
        <is>
          <t>Vận dụng</t>
        </is>
      </c>
      <c r="J705" s="3" t="inlineStr">
        <is>
          <t>Sắp xếp các số từ bé đến lớn</t>
        </is>
      </c>
      <c r="K705" s="3" t="inlineStr">
        <is>
          <t>eight / nine / seven / six / ten</t>
        </is>
      </c>
      <c r="L705" s="3" t="inlineStr">
        <is>
          <t>six → seven → eight → nine → ten</t>
        </is>
      </c>
      <c r="M705" s="3" t="inlineStr">
        <is>
          <t>six (6), seven (7), eight (8), nine (9), ten (10).</t>
        </is>
      </c>
      <c r="N705" s="3" t="inlineStr">
        <is>
          <t>six = 6, seven = 7, eight = 8, nine = 9, ten = 10. Xếp từ bé đến lớn.</t>
        </is>
      </c>
      <c r="O705" s="14" t="n">
        <v>65</v>
      </c>
      <c r="P705" s="14">
        <f>INDEX(Khung_cap_do!$H$2:$H$6,H705)</f>
        <v/>
      </c>
      <c r="Q705" s="3" t="inlineStr">
        <is>
          <t>A1.NUM.01</t>
        </is>
      </c>
      <c r="R705" s="3" t="inlineStr">
        <is>
          <t>TA.TUVUNG</t>
        </is>
      </c>
    </row>
    <row r="706">
      <c r="A706" s="3" t="inlineStr">
        <is>
          <t>ta1-gs-u16-q8</t>
        </is>
      </c>
      <c r="B706" s="3" t="inlineStr">
        <is>
          <t>Tiếng Anh</t>
        </is>
      </c>
      <c r="C706" s="3" t="inlineStr">
        <is>
          <t>Global Success</t>
        </is>
      </c>
      <c r="D706" s="3" t="inlineStr">
        <is>
          <t>Unit 16</t>
        </is>
      </c>
      <c r="E706" s="3" t="inlineStr">
        <is>
          <t>Học kì 2 · Unit 13–16 và Review 4</t>
        </is>
      </c>
      <c r="F706" s="3" t="inlineStr">
        <is>
          <t>Unit 16. At home</t>
        </is>
      </c>
      <c r="G706" s="3" t="inlineStr">
        <is>
          <t>Đúng / Sai</t>
        </is>
      </c>
      <c r="H706" s="14" t="n">
        <v>1</v>
      </c>
      <c r="I706" s="3" t="inlineStr">
        <is>
          <t>Làm quen</t>
        </is>
      </c>
      <c r="J706" s="3" t="inlineStr">
        <is>
          <t>"ten" là số 10. Đúng hay sai?</t>
        </is>
      </c>
      <c r="K706" s="3" t="inlineStr">
        <is>
          <t>A. Đúng | B. Sai</t>
        </is>
      </c>
      <c r="L706" s="3" t="inlineStr">
        <is>
          <t>A</t>
        </is>
      </c>
      <c r="M706" s="3" t="inlineStr">
        <is>
          <t>Đúng, ten = 10.</t>
        </is>
      </c>
      <c r="N706" s="3" t="n"/>
      <c r="O706" s="14" t="n">
        <v>30</v>
      </c>
      <c r="P706" s="14">
        <f>INDEX(Khung_cap_do!$H$2:$H$6,H706)</f>
        <v/>
      </c>
      <c r="Q706" s="3" t="inlineStr">
        <is>
          <t>A1.NUM.01</t>
        </is>
      </c>
      <c r="R706" s="3" t="inlineStr">
        <is>
          <t>TA.TUVUNG</t>
        </is>
      </c>
    </row>
    <row r="707">
      <c r="A707" s="3" t="inlineStr">
        <is>
          <t>ta1-gs-review4-q1</t>
        </is>
      </c>
      <c r="B707" s="3" t="inlineStr">
        <is>
          <t>Tiếng Anh</t>
        </is>
      </c>
      <c r="C707" s="3" t="inlineStr">
        <is>
          <t>Global Success</t>
        </is>
      </c>
      <c r="D707" s="3" t="inlineStr">
        <is>
          <t>Review 4</t>
        </is>
      </c>
      <c r="E707" s="3" t="inlineStr">
        <is>
          <t>Học kì 2 · Unit 13–16 và Review 4</t>
        </is>
      </c>
      <c r="F707" s="3" t="inlineStr">
        <is>
          <t>Review 4. Ôn tập Unit 13–16</t>
        </is>
      </c>
      <c r="G707" s="3" t="inlineStr">
        <is>
          <t>Ghép cặp</t>
        </is>
      </c>
      <c r="H707" s="14" t="n">
        <v>2</v>
      </c>
      <c r="I707" s="3" t="inlineStr">
        <is>
          <t>Cơ bản</t>
        </is>
      </c>
      <c r="J707" s="3" t="inlineStr">
        <is>
          <t>Ghép hình với từ đúng</t>
        </is>
      </c>
      <c r="K707" s="3" t="inlineStr">
        <is>
          <t>🍌 ↔ ? / 🐯 ↔ ? / 🦶 ↔ ? / 🪟 ↔ ?</t>
        </is>
      </c>
      <c r="L707" s="3" t="inlineStr">
        <is>
          <t>🍌 – banana; 🐯 – tiger; 🦶 – foot; 🪟 – window</t>
        </is>
      </c>
      <c r="M707" s="3" t="inlineStr">
        <is>
          <t>banana, tiger, foot, window.</t>
        </is>
      </c>
      <c r="N707" s="3" t="n"/>
      <c r="O707" s="14" t="n">
        <v>55</v>
      </c>
      <c r="P707" s="14">
        <f>INDEX(Khung_cap_do!$H$2:$H$6,H707)</f>
        <v/>
      </c>
      <c r="Q707" s="3" t="inlineStr">
        <is>
          <t>A1.ABC.02</t>
        </is>
      </c>
      <c r="R707" s="3" t="inlineStr">
        <is>
          <t>TA.NOINGHIA</t>
        </is>
      </c>
    </row>
    <row r="708">
      <c r="A708" s="3" t="inlineStr">
        <is>
          <t>ta1-gs-review4-q2</t>
        </is>
      </c>
      <c r="B708" s="3" t="inlineStr">
        <is>
          <t>Tiếng Anh</t>
        </is>
      </c>
      <c r="C708" s="3" t="inlineStr">
        <is>
          <t>Global Success</t>
        </is>
      </c>
      <c r="D708" s="3" t="inlineStr">
        <is>
          <t>Review 4</t>
        </is>
      </c>
      <c r="E708" s="3" t="inlineStr">
        <is>
          <t>Học kì 2 · Unit 13–16 và Review 4</t>
        </is>
      </c>
      <c r="F708" s="3" t="inlineStr">
        <is>
          <t>Review 4. Ôn tập Unit 13–16</t>
        </is>
      </c>
      <c r="G708" s="3" t="inlineStr">
        <is>
          <t>Chọn nhiều đáp án</t>
        </is>
      </c>
      <c r="H708" s="14" t="n">
        <v>2</v>
      </c>
      <c r="I708" s="3" t="inlineStr">
        <is>
          <t>Cơ bản</t>
        </is>
      </c>
      <c r="J708" s="3" t="inlineStr">
        <is>
          <t>Chọn TẤT CẢ các món ăn</t>
        </is>
      </c>
      <c r="K708" s="3" t="inlineStr">
        <is>
          <t>A. noodles | B. banana | C. top | D. nut | E. window</t>
        </is>
      </c>
      <c r="L708" s="3" t="inlineStr">
        <is>
          <t>A, B, D</t>
        </is>
      </c>
      <c r="M708" s="3" t="inlineStr">
        <is>
          <t>noodles, banana, nut là đồ ăn; top là con quay, window là cửa sổ.</t>
        </is>
      </c>
      <c r="N708" s="3" t="n"/>
      <c r="O708" s="14" t="n">
        <v>50</v>
      </c>
      <c r="P708" s="14">
        <f>INDEX(Khung_cap_do!$H$2:$H$6,H708)</f>
        <v/>
      </c>
      <c r="Q708" s="3" t="inlineStr">
        <is>
          <t>A1.EXTRA.02</t>
        </is>
      </c>
      <c r="R708" s="3" t="inlineStr">
        <is>
          <t>TA.NHOMTU</t>
        </is>
      </c>
    </row>
    <row r="709">
      <c r="A709" s="3" t="inlineStr">
        <is>
          <t>ta1-gs-review4-q3</t>
        </is>
      </c>
      <c r="B709" s="3" t="inlineStr">
        <is>
          <t>Tiếng Anh</t>
        </is>
      </c>
      <c r="C709" s="3" t="inlineStr">
        <is>
          <t>Global Success</t>
        </is>
      </c>
      <c r="D709" s="3" t="inlineStr">
        <is>
          <t>Review 4</t>
        </is>
      </c>
      <c r="E709" s="3" t="inlineStr">
        <is>
          <t>Học kì 2 · Unit 13–16 và Review 4</t>
        </is>
      </c>
      <c r="F709" s="3" t="inlineStr">
        <is>
          <t>Review 4. Ôn tập Unit 13–16</t>
        </is>
      </c>
      <c r="G709" s="3" t="inlineStr">
        <is>
          <t>Chọn đáp án</t>
        </is>
      </c>
      <c r="H709" s="14" t="n">
        <v>1</v>
      </c>
      <c r="I709" s="3" t="inlineStr">
        <is>
          <t>Làm quen</t>
        </is>
      </c>
      <c r="J709" s="3" t="inlineStr">
        <is>
          <t>Từ nào bắt đầu bằng chữ f?</t>
        </is>
      </c>
      <c r="K709" s="3" t="inlineStr">
        <is>
          <t>A. father | B. tiger | C. water</t>
        </is>
      </c>
      <c r="L709" s="3" t="inlineStr">
        <is>
          <t>A</t>
        </is>
      </c>
      <c r="M709" s="3" t="inlineStr">
        <is>
          <t>"father" bắt đầu bằng f.</t>
        </is>
      </c>
      <c r="N709" s="3" t="n"/>
      <c r="O709" s="14" t="n">
        <v>30</v>
      </c>
      <c r="P709" s="14">
        <f>INDEX(Khung_cap_do!$H$2:$H$6,H709)</f>
        <v/>
      </c>
      <c r="Q709" s="3" t="inlineStr">
        <is>
          <t>A1.ABC.02</t>
        </is>
      </c>
      <c r="R709" s="3" t="inlineStr">
        <is>
          <t>TA.CHUCAI</t>
        </is>
      </c>
    </row>
    <row r="710">
      <c r="A710" s="3" t="inlineStr">
        <is>
          <t>ta1-gs-review4-q4</t>
        </is>
      </c>
      <c r="B710" s="3" t="inlineStr">
        <is>
          <t>Tiếng Anh</t>
        </is>
      </c>
      <c r="C710" s="3" t="inlineStr">
        <is>
          <t>Global Success</t>
        </is>
      </c>
      <c r="D710" s="3" t="inlineStr">
        <is>
          <t>Review 4</t>
        </is>
      </c>
      <c r="E710" s="3" t="inlineStr">
        <is>
          <t>Học kì 2 · Unit 13–16 và Review 4</t>
        </is>
      </c>
      <c r="F710" s="3" t="inlineStr">
        <is>
          <t>Review 4. Ôn tập Unit 13–16</t>
        </is>
      </c>
      <c r="G710" s="3" t="inlineStr">
        <is>
          <t>Chọn đáp án</t>
        </is>
      </c>
      <c r="H710" s="14" t="n">
        <v>1</v>
      </c>
      <c r="I710" s="3" t="inlineStr">
        <is>
          <t>Làm quen</t>
        </is>
      </c>
      <c r="J710" s="3" t="inlineStr">
        <is>
          <t>"nine" là số mấy?</t>
        </is>
      </c>
      <c r="K710" s="3" t="inlineStr">
        <is>
          <t>A. 9 | B. 6 | C. 10</t>
        </is>
      </c>
      <c r="L710" s="3" t="inlineStr">
        <is>
          <t>A</t>
        </is>
      </c>
      <c r="M710" s="3" t="inlineStr">
        <is>
          <t>nine = 9.</t>
        </is>
      </c>
      <c r="N710" s="3" t="n"/>
      <c r="O710" s="14" t="n">
        <v>30</v>
      </c>
      <c r="P710" s="14">
        <f>INDEX(Khung_cap_do!$H$2:$H$6,H710)</f>
        <v/>
      </c>
      <c r="Q710" s="3" t="inlineStr">
        <is>
          <t>A1.NUM.01</t>
        </is>
      </c>
      <c r="R710" s="3" t="inlineStr">
        <is>
          <t>TA.TUVUNG</t>
        </is>
      </c>
    </row>
    <row r="711">
      <c r="A711" s="3" t="inlineStr">
        <is>
          <t>ta1-gs-review4-q5</t>
        </is>
      </c>
      <c r="B711" s="3" t="inlineStr">
        <is>
          <t>Tiếng Anh</t>
        </is>
      </c>
      <c r="C711" s="3" t="inlineStr">
        <is>
          <t>Global Success</t>
        </is>
      </c>
      <c r="D711" s="3" t="inlineStr">
        <is>
          <t>Review 4</t>
        </is>
      </c>
      <c r="E711" s="3" t="inlineStr">
        <is>
          <t>Học kì 2 · Unit 13–16 và Review 4</t>
        </is>
      </c>
      <c r="F711" s="3" t="inlineStr">
        <is>
          <t>Review 4. Ôn tập Unit 13–16</t>
        </is>
      </c>
      <c r="G711" s="3" t="inlineStr">
        <is>
          <t>Điền đáp án</t>
        </is>
      </c>
      <c r="H711" s="14" t="n">
        <v>2</v>
      </c>
      <c r="I711" s="3" t="inlineStr">
        <is>
          <t>Cơ bản</t>
        </is>
      </c>
      <c r="J711" s="3" t="inlineStr">
        <is>
          <t>Điền chữ cái còn thiếu: wi_dow (🪟 cửa sổ)</t>
        </is>
      </c>
      <c r="K711" s="3" t="inlineStr"/>
      <c r="L711" s="3" t="inlineStr">
        <is>
          <t>n / window</t>
        </is>
      </c>
      <c r="M711" s="3" t="inlineStr">
        <is>
          <t>wi + n + dow = window.</t>
        </is>
      </c>
      <c r="N711" s="3" t="n"/>
      <c r="O711" s="14" t="n">
        <v>50</v>
      </c>
      <c r="P711" s="14">
        <f>INDEX(Khung_cap_do!$H$2:$H$6,H711)</f>
        <v/>
      </c>
      <c r="Q711" s="3" t="inlineStr">
        <is>
          <t>A1.ABC.01</t>
        </is>
      </c>
      <c r="R711" s="3" t="inlineStr">
        <is>
          <t>TA.CHUCAI</t>
        </is>
      </c>
    </row>
    <row r="712">
      <c r="A712" s="3" t="inlineStr">
        <is>
          <t>ta1-gs-review4-q6</t>
        </is>
      </c>
      <c r="B712" s="3" t="inlineStr">
        <is>
          <t>Tiếng Anh</t>
        </is>
      </c>
      <c r="C712" s="3" t="inlineStr">
        <is>
          <t>Global Success</t>
        </is>
      </c>
      <c r="D712" s="3" t="inlineStr">
        <is>
          <t>Review 4</t>
        </is>
      </c>
      <c r="E712" s="3" t="inlineStr">
        <is>
          <t>Học kì 2 · Unit 13–16 và Review 4</t>
        </is>
      </c>
      <c r="F712" s="3" t="inlineStr">
        <is>
          <t>Review 4. Ôn tập Unit 13–16</t>
        </is>
      </c>
      <c r="G712" s="3" t="inlineStr">
        <is>
          <t>Chọn đáp án</t>
        </is>
      </c>
      <c r="H712" s="14" t="n">
        <v>3</v>
      </c>
      <c r="I712" s="3" t="inlineStr">
        <is>
          <t>Vận dụng</t>
        </is>
      </c>
      <c r="J712" s="3" t="inlineStr">
        <is>
          <t>👦🥜 Bạn trai đang ăn hạt lạc. Câu nào đúng?</t>
        </is>
      </c>
      <c r="K712" s="3" t="inlineStr">
        <is>
          <t>A. He's having nuts. | B. She's having nuts. | C. He's having noodles.</t>
        </is>
      </c>
      <c r="L712" s="3" t="inlineStr">
        <is>
          <t>A</t>
        </is>
      </c>
      <c r="M712" s="3" t="inlineStr">
        <is>
          <t>He's having nuts. = Bạn ấy đang ăn hạt lạc.</t>
        </is>
      </c>
      <c r="N712" s="3" t="inlineStr">
        <is>
          <t>Bạn trai dùng "He". Hạt lạc là "nuts". Vậy: He's having nuts.</t>
        </is>
      </c>
      <c r="O712" s="14" t="n">
        <v>50</v>
      </c>
      <c r="P712" s="14">
        <f>INDEX(Khung_cap_do!$H$2:$H$6,H712)</f>
        <v/>
      </c>
      <c r="Q712" s="3" t="inlineStr">
        <is>
          <t>A1.EXTRA.02</t>
        </is>
      </c>
      <c r="R712" s="3" t="inlineStr">
        <is>
          <t>TA.MAUCAU</t>
        </is>
      </c>
    </row>
    <row r="713">
      <c r="A713" s="3" t="inlineStr">
        <is>
          <t>ta1-gs-review4-q7</t>
        </is>
      </c>
      <c r="B713" s="3" t="inlineStr">
        <is>
          <t>Tiếng Anh</t>
        </is>
      </c>
      <c r="C713" s="3" t="inlineStr">
        <is>
          <t>Global Success</t>
        </is>
      </c>
      <c r="D713" s="3" t="inlineStr">
        <is>
          <t>Review 4</t>
        </is>
      </c>
      <c r="E713" s="3" t="inlineStr">
        <is>
          <t>Học kì 2 · Unit 13–16 và Review 4</t>
        </is>
      </c>
      <c r="F713" s="3" t="inlineStr">
        <is>
          <t>Review 4. Ôn tập Unit 13–16</t>
        </is>
      </c>
      <c r="G713" s="3" t="inlineStr">
        <is>
          <t>Chọn đáp án</t>
        </is>
      </c>
      <c r="H713" s="14" t="n">
        <v>3</v>
      </c>
      <c r="I713" s="3" t="inlineStr">
        <is>
          <t>Vận dụng</t>
        </is>
      </c>
      <c r="J713" s="3" t="inlineStr">
        <is>
          <t>🐢🐢🐢🐢🐢🐢🐢 How many turtles?</t>
        </is>
      </c>
      <c r="K713" s="3" t="inlineStr">
        <is>
          <t>A. Seven. | B. Six. | C. Eight.</t>
        </is>
      </c>
      <c r="L713" s="3" t="inlineStr">
        <is>
          <t>A</t>
        </is>
      </c>
      <c r="M713" s="3" t="inlineStr">
        <is>
          <t>Có 7 con rùa: seven.</t>
        </is>
      </c>
      <c r="N713" s="3" t="inlineStr">
        <is>
          <t>Đếm từng con rùa: 1, 2, 3, 4, 5, 6, 7. Số 7 là "seven".</t>
        </is>
      </c>
      <c r="O713" s="14" t="n">
        <v>50</v>
      </c>
      <c r="P713" s="14">
        <f>INDEX(Khung_cap_do!$H$2:$H$6,H713)</f>
        <v/>
      </c>
      <c r="Q713" s="3" t="inlineStr">
        <is>
          <t>A1.NUM.02</t>
        </is>
      </c>
      <c r="R713" s="3" t="inlineStr">
        <is>
          <t>TA.MAUCAU</t>
        </is>
      </c>
    </row>
    <row r="714">
      <c r="A714" s="3" t="inlineStr">
        <is>
          <t>ta1-gs-review4-q8</t>
        </is>
      </c>
      <c r="B714" s="3" t="inlineStr">
        <is>
          <t>Tiếng Anh</t>
        </is>
      </c>
      <c r="C714" s="3" t="inlineStr">
        <is>
          <t>Global Success</t>
        </is>
      </c>
      <c r="D714" s="3" t="inlineStr">
        <is>
          <t>Review 4</t>
        </is>
      </c>
      <c r="E714" s="3" t="inlineStr">
        <is>
          <t>Học kì 2 · Unit 13–16 và Review 4</t>
        </is>
      </c>
      <c r="F714" s="3" t="inlineStr">
        <is>
          <t>Review 4. Ôn tập Unit 13–16</t>
        </is>
      </c>
      <c r="G714" s="3" t="inlineStr">
        <is>
          <t>Sắp xếp</t>
        </is>
      </c>
      <c r="H714" s="14" t="n">
        <v>3</v>
      </c>
      <c r="I714" s="3" t="inlineStr">
        <is>
          <t>Vận dụng</t>
        </is>
      </c>
      <c r="J714" s="3" t="inlineStr">
        <is>
          <t>Sắp xếp các từ thành câu đúng</t>
        </is>
      </c>
      <c r="K714" s="3" t="inlineStr">
        <is>
          <t>I / a / can / see / tiger.</t>
        </is>
      </c>
      <c r="L714" s="3" t="inlineStr">
        <is>
          <t>I → can → see → a → tiger.</t>
        </is>
      </c>
      <c r="M714" s="3" t="inlineStr">
        <is>
          <t>I can see a tiger. = Em nhìn thấy một con hổ.</t>
        </is>
      </c>
      <c r="N714" s="3" t="inlineStr">
        <is>
          <t>Câu bắt đầu bằng "I", rồi "can see a", cuối câu "tiger."</t>
        </is>
      </c>
      <c r="O714" s="14" t="n">
        <v>65</v>
      </c>
      <c r="P714" s="14">
        <f>INDEX(Khung_cap_do!$H$2:$H$6,H714)</f>
        <v/>
      </c>
      <c r="Q714" s="3" t="inlineStr">
        <is>
          <t>A1.ANIMAL.01</t>
        </is>
      </c>
      <c r="R714" s="3" t="inlineStr">
        <is>
          <t>TA.MAUCAU</t>
        </is>
      </c>
    </row>
  </sheetData>
  <conditionalFormatting sqref="A2:R714">
    <cfRule type="expression" priority="1" dxfId="0">
      <formula>$H2=1</formula>
    </cfRule>
    <cfRule type="expression" priority="2" dxfId="1">
      <formula>$H2=2</formula>
    </cfRule>
    <cfRule type="expression" priority="3" dxfId="2">
      <formula>$H2=3</formula>
    </cfRule>
    <cfRule type="expression" priority="4" dxfId="3">
      <formula>$H2=4</formula>
    </cfRule>
    <cfRule type="expression" priority="5" dxfId="4">
      <formula>$H2=5</formula>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2" customWidth="1" min="1" max="1"/>
    <col width="75" customWidth="1" min="2" max="2"/>
    <col width="20" customWidth="1" min="3" max="3"/>
    <col width="24" customWidth="1" min="4" max="4"/>
    <col width="46" customWidth="1" min="5" max="5"/>
  </cols>
  <sheetData>
    <row r="1" ht="34" customHeight="1">
      <c r="A1" s="1" t="inlineStr">
        <is>
          <t>Hạng mục</t>
        </is>
      </c>
      <c r="B1" s="1" t="inlineStr">
        <is>
          <t>Câu hỏi kiểm tra</t>
        </is>
      </c>
      <c r="C1" s="1" t="inlineStr">
        <is>
          <t>Kết quả</t>
        </is>
      </c>
      <c r="D1" s="1" t="inlineStr">
        <is>
          <t>Người duyệt</t>
        </is>
      </c>
      <c r="E1" s="1" t="inlineStr">
        <is>
          <t>Ghi chú</t>
        </is>
      </c>
    </row>
    <row r="2">
      <c r="A2" s="3" t="inlineStr">
        <is>
          <t>Chương trình</t>
        </is>
      </c>
      <c r="B2" s="3" t="inlineStr">
        <is>
          <t>Đã đối chiếu yêu cầu cần đạt và văn bản hiện hành?</t>
        </is>
      </c>
      <c r="C2" s="3" t="inlineStr">
        <is>
          <t>Chưa kiểm tra</t>
        </is>
      </c>
      <c r="D2" s="3" t="n"/>
      <c r="E2" s="3" t="n"/>
    </row>
    <row r="3">
      <c r="A3" s="3" t="inlineStr">
        <is>
          <t>Tiến trình</t>
        </is>
      </c>
      <c r="B3" s="3" t="inlineStr">
        <is>
          <t>Học sinh đã học âm/vần/số/từ/cấu trúc trong câu?</t>
        </is>
      </c>
      <c r="C3" s="3" t="inlineStr">
        <is>
          <t>Chưa kiểm tra</t>
        </is>
      </c>
      <c r="D3" s="3" t="n"/>
      <c r="E3" s="3" t="n"/>
    </row>
    <row r="4">
      <c r="A4" s="3" t="inlineStr">
        <is>
          <t>Đáp án</t>
        </is>
      </c>
      <c r="B4" s="3" t="inlineStr">
        <is>
          <t>Đáp án và lời giải chính xác, không mơ hồ?</t>
        </is>
      </c>
      <c r="C4" s="3" t="inlineStr">
        <is>
          <t>Chưa kiểm tra</t>
        </is>
      </c>
      <c r="D4" s="3" t="n"/>
      <c r="E4" s="3" t="n"/>
    </row>
    <row r="5">
      <c r="A5" s="3" t="inlineStr">
        <is>
          <t>Ngôn ngữ</t>
        </is>
      </c>
      <c r="B5" s="3" t="inlineStr">
        <is>
          <t>Câu ngắn, đúng chính tả, phù hợp lớp 1?</t>
        </is>
      </c>
      <c r="C5" s="3" t="inlineStr">
        <is>
          <t>Chưa kiểm tra</t>
        </is>
      </c>
      <c r="D5" s="3" t="n"/>
      <c r="E5" s="3" t="n"/>
    </row>
    <row r="6">
      <c r="A6" s="3" t="inlineStr">
        <is>
          <t>Hình ảnh/audio</t>
        </is>
      </c>
      <c r="B6" s="3" t="inlineStr">
        <is>
          <t>Hình rõ; audio rõ và được kiểm tra?</t>
        </is>
      </c>
      <c r="C6" s="3" t="inlineStr">
        <is>
          <t>Chưa kiểm tra</t>
        </is>
      </c>
      <c r="D6" s="3" t="n"/>
      <c r="E6" s="3" t="n"/>
    </row>
    <row r="7">
      <c r="A7" s="3" t="inlineStr">
        <is>
          <t>Cấp độ</t>
        </is>
      </c>
      <c r="B7" s="3" t="inlineStr">
        <is>
          <t>Độ khó phản ánh tư duy chứ không phải kiến thức chưa học?</t>
        </is>
      </c>
      <c r="C7" s="3" t="inlineStr">
        <is>
          <t>Chưa kiểm tra</t>
        </is>
      </c>
      <c r="D7" s="3" t="n"/>
      <c r="E7" s="3" t="n"/>
    </row>
    <row r="8">
      <c r="A8" s="3" t="inlineStr">
        <is>
          <t>Đáp án mở</t>
        </is>
      </c>
      <c r="B8" s="3" t="inlineStr">
        <is>
          <t>Có rubric và các đáp án hợp lệ?</t>
        </is>
      </c>
      <c r="C8" s="3" t="inlineStr">
        <is>
          <t>Chưa kiểm tra</t>
        </is>
      </c>
      <c r="D8" s="3" t="n"/>
      <c r="E8" s="3" t="n"/>
    </row>
    <row r="9">
      <c r="A9" s="3" t="inlineStr">
        <is>
          <t>Tiếp cận</t>
        </is>
      </c>
      <c r="B9" s="3" t="inlineStr">
        <is>
          <t>Không phụ thuộc chỉ vào màu sắc; thao tác đơn giản?</t>
        </is>
      </c>
      <c r="C9" s="3" t="inlineStr">
        <is>
          <t>Chưa kiểm tra</t>
        </is>
      </c>
      <c r="D9" s="3" t="n"/>
      <c r="E9" s="3" t="n"/>
    </row>
    <row r="10">
      <c r="A10" s="3" t="inlineStr">
        <is>
          <t>Bảo mật</t>
        </is>
      </c>
      <c r="B10" s="3" t="inlineStr">
        <is>
          <t>Answer key không lộ cho học sinh; quyền truy cập đã thử?</t>
        </is>
      </c>
      <c r="C10" s="3" t="inlineStr">
        <is>
          <t>Chưa kiểm tra</t>
        </is>
      </c>
      <c r="D10" s="3" t="n"/>
      <c r="E10" s="3" t="n"/>
    </row>
    <row r="11">
      <c r="A11" s="3" t="inlineStr">
        <is>
          <t>Phê duyệt</t>
        </is>
      </c>
      <c r="B11" s="3" t="inlineStr">
        <is>
          <t>Có giáo viên chịu trách nhiệm và ngày duyệt?</t>
        </is>
      </c>
      <c r="C11" s="3" t="inlineStr">
        <is>
          <t>Chưa kiểm tra</t>
        </is>
      </c>
      <c r="D11" s="3" t="n"/>
      <c r="E11" s="3" t="n"/>
    </row>
    <row r="12">
      <c r="A12" s="3" t="inlineStr">
        <is>
          <t>Thời gian</t>
        </is>
      </c>
      <c r="B12" s="3" t="inlineStr">
        <is>
          <t>Thời gian mỗi câu đủ cho học sinh lớp 1 đọc đề và thao tác (30–120 giây)?</t>
        </is>
      </c>
      <c r="C12" s="3" t="inlineStr">
        <is>
          <t>Chưa kiểm tra</t>
        </is>
      </c>
      <c r="D12" s="3" t="n"/>
      <c r="E12" s="3" t="n"/>
    </row>
    <row r="13">
      <c r="A13" s="3" t="inlineStr">
        <is>
          <t>Thứ tự cấp độ</t>
        </is>
      </c>
      <c r="B13" s="3" t="inlineStr">
        <is>
          <t>Câu trong đề đi từ dễ (L1) đến khó (L5); cấp độ phản ánh tư duy, không phải kiến thức chưa học?</t>
        </is>
      </c>
      <c r="C13" s="3" t="inlineStr">
        <is>
          <t>Chưa kiểm tra</t>
        </is>
      </c>
      <c r="D13" s="3" t="n"/>
      <c r="E1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2026-10-14T04:22:40Z</dcterms:created>
  <dcterms:modified xmlns:dcterms="http://purl.org/dc/terms/" xmlns:xsi="http://www.w3.org/2001/XMLSchema-instance" xsi:type="dcterms:W3CDTF">2026-10-14T04:22:41Z</dcterms:modified>
</cp:coreProperties>
</file>